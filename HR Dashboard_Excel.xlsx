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ml.chartshapes+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rik\Desktop\"/>
    </mc:Choice>
  </mc:AlternateContent>
  <xr:revisionPtr revIDLastSave="0" documentId="8_{5221BCF9-5C99-4B7D-855A-7598B963E80A}" xr6:coauthVersionLast="47" xr6:coauthVersionMax="47" xr10:uidLastSave="{00000000-0000-0000-0000-000000000000}"/>
  <bookViews>
    <workbookView xWindow="-108" yWindow="-108" windowWidth="23256" windowHeight="12456" firstSheet="6" activeTab="10" xr2:uid="{00000000-000D-0000-FFFF-FFFF00000000}"/>
  </bookViews>
  <sheets>
    <sheet name="Rating" sheetId="9" r:id="rId1"/>
    <sheet name="Gender" sheetId="10" r:id="rId2"/>
    <sheet name="EducationByAttrition" sheetId="11" r:id="rId3"/>
    <sheet name="ATTRITION by JOBROLE" sheetId="12" r:id="rId4"/>
    <sheet name="Department wise Attrition" sheetId="13" r:id="rId5"/>
    <sheet name="ATTRITION BY AGE GROUP" sheetId="14" r:id="rId6"/>
    <sheet name="Marital Status" sheetId="15" r:id="rId7"/>
    <sheet name="Data" sheetId="1" r:id="rId8"/>
    <sheet name="KPI" sheetId="8" r:id="rId9"/>
    <sheet name="Images" sheetId="2" r:id="rId10"/>
    <sheet name="Dashboard" sheetId="4" r:id="rId11"/>
  </sheets>
  <definedNames>
    <definedName name="_xlchart.v1.0" hidden="1">'ATTRITION by JOBROLE'!$D$4:$F$12</definedName>
    <definedName name="_xlchart.v1.1" hidden="1">'ATTRITION by JOBROLE'!$G$4:$G$12</definedName>
    <definedName name="_xlchart.v1.2" hidden="1">'ATTRITION by JOBROLE'!$D$4:$F$12</definedName>
    <definedName name="_xlchart.v1.3" hidden="1">'ATTRITION by JOBROLE'!$G$4:$G$12</definedName>
    <definedName name="Slicer_Department">#N/A</definedName>
    <definedName name="Slicer_Education_Field3">#N/A</definedName>
    <definedName name="Slicer_Gender">#N/A</definedName>
    <definedName name="Slicer_Gender1">#N/A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8" roundtripDataChecksum="0W7NtiAel2xy0cZdwUBcRsMoEuXg6pzXui43o1bypBA="/>
    </ext>
  </extLst>
</workbook>
</file>

<file path=xl/calcChain.xml><?xml version="1.0" encoding="utf-8"?>
<calcChain xmlns="http://schemas.openxmlformats.org/spreadsheetml/2006/main">
  <c r="D4" i="15" l="1"/>
  <c r="D5" i="15"/>
  <c r="D6" i="15"/>
  <c r="D5" i="12"/>
  <c r="D6" i="12"/>
  <c r="D7" i="12"/>
  <c r="D8" i="12"/>
  <c r="D9" i="12"/>
  <c r="D10" i="12"/>
  <c r="D11" i="12"/>
  <c r="D12" i="12"/>
  <c r="D4" i="12"/>
  <c r="F5" i="15"/>
  <c r="F6" i="15"/>
  <c r="F4" i="15"/>
  <c r="G5" i="12"/>
  <c r="G6" i="12"/>
  <c r="G7" i="12"/>
  <c r="G8" i="12"/>
  <c r="G9" i="12"/>
  <c r="G10" i="12"/>
  <c r="G11" i="12"/>
  <c r="G12" i="12"/>
  <c r="G4" i="12"/>
  <c r="B9" i="10"/>
  <c r="B10" i="10"/>
  <c r="C8" i="8"/>
  <c r="B8" i="8"/>
  <c r="A8" i="8"/>
  <c r="D8" i="8"/>
  <c r="B6" i="9"/>
  <c r="C9" i="10" l="1"/>
  <c r="C10" i="10"/>
  <c r="C6" i="9"/>
  <c r="B7" i="9"/>
  <c r="C7" i="9" s="1"/>
  <c r="E8" i="8"/>
</calcChain>
</file>

<file path=xl/sharedStrings.xml><?xml version="1.0" encoding="utf-8"?>
<sst xmlns="http://schemas.openxmlformats.org/spreadsheetml/2006/main" count="19216" uniqueCount="1571">
  <si>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</si>
  <si>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</si>
  <si>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</si>
  <si>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</si>
  <si>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</si>
  <si>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</si>
  <si>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</si>
  <si>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</si>
  <si>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</si>
  <si>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</si>
  <si>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</si>
  <si>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</si>
  <si>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</si>
  <si>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</si>
  <si>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</si>
  <si>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</si>
  <si>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</si>
  <si>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</si>
  <si>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</si>
  <si>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</si>
  <si>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</si>
  <si>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</si>
  <si>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</si>
  <si>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</si>
  <si>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</si>
  <si>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</si>
  <si>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</si>
  <si>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</si>
  <si>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</si>
  <si>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</si>
  <si>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</si>
  <si>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</si>
  <si>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</si>
  <si>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</si>
  <si>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</si>
  <si>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</si>
  <si>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</si>
  <si>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</si>
  <si>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</si>
  <si>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</si>
  <si>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</si>
  <si>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</si>
  <si>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</si>
  <si>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</si>
  <si>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</si>
  <si>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</si>
  <si>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</si>
  <si>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</si>
  <si>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</si>
  <si>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</si>
  <si>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</si>
  <si>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</si>
  <si>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</si>
  <si>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</si>
  <si>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</si>
  <si>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</si>
  <si>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</si>
  <si>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</si>
  <si>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</si>
  <si>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</si>
  <si>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</si>
  <si>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</si>
  <si>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</si>
  <si>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</si>
  <si>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</si>
  <si>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</si>
  <si>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</si>
  <si>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</si>
  <si>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</si>
  <si>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</si>
  <si>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</si>
  <si>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</si>
  <si>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</si>
  <si>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</si>
  <si>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</si>
  <si>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</si>
  <si>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</si>
  <si>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</si>
  <si>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</si>
  <si>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</si>
  <si>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</si>
  <si>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</si>
  <si>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</si>
  <si>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</si>
  <si>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</si>
  <si>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</si>
  <si>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</si>
  <si>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</si>
  <si>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</si>
  <si>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</si>
  <si>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</si>
  <si>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</si>
  <si>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</si>
  <si>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</si>
  <si>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</si>
  <si>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</si>
  <si>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</si>
  <si>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</si>
  <si>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</si>
  <si>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</si>
  <si>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</si>
  <si>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</si>
  <si>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</si>
  <si>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</si>
  <si>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</si>
  <si>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</si>
  <si>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</si>
  <si>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</si>
  <si>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</si>
  <si>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</si>
  <si>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</si>
  <si>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</si>
  <si>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</si>
  <si>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</si>
  <si>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</si>
  <si>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</si>
  <si>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</si>
  <si>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</si>
  <si>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</si>
  <si>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</si>
  <si>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</si>
  <si>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</si>
  <si>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</si>
  <si>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</si>
  <si>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</si>
  <si>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</si>
  <si>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</si>
  <si>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</si>
  <si>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</si>
  <si>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</si>
  <si>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</si>
  <si>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</si>
  <si>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</si>
  <si>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</si>
  <si>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</si>
  <si>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</si>
  <si>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</si>
  <si>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</si>
  <si>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</si>
  <si>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</si>
  <si>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</si>
  <si>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</si>
  <si>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</si>
  <si>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</si>
  <si>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</si>
  <si>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</si>
  <si>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</si>
  <si>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</si>
  <si>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</si>
  <si>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</si>
  <si>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</si>
  <si>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</si>
  <si>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</si>
  <si>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</si>
  <si>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</si>
  <si>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</si>
  <si>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</si>
  <si>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</si>
  <si>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</si>
  <si>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</si>
  <si>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</si>
  <si>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</si>
  <si>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</si>
  <si>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</si>
  <si>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</si>
  <si>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</si>
  <si>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</si>
  <si>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</si>
  <si>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</si>
  <si>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</si>
  <si>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</si>
  <si>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</si>
  <si>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</si>
  <si>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</si>
  <si>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</si>
  <si>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</si>
  <si>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</si>
  <si>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</si>
  <si>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</si>
  <si>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</si>
  <si>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</si>
  <si>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</si>
  <si>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</si>
  <si>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</si>
  <si>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</si>
  <si>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</si>
  <si>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</si>
  <si>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</si>
  <si>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</si>
  <si>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</si>
  <si>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</si>
  <si>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</si>
  <si>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</si>
  <si>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</si>
  <si>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</si>
  <si>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</si>
  <si>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</si>
  <si>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</si>
  <si>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</si>
  <si>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</si>
  <si>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</si>
  <si>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</si>
  <si>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</si>
  <si>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</si>
  <si>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</si>
  <si>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</si>
  <si>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</si>
  <si>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</si>
  <si>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</si>
  <si>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</si>
  <si>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</si>
  <si>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</si>
  <si>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</si>
  <si>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</si>
  <si>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</si>
  <si>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</si>
  <si>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</si>
  <si>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</si>
  <si>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</si>
  <si>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</si>
  <si>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</si>
  <si>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</si>
  <si>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</si>
  <si>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</si>
  <si>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</si>
  <si>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</si>
  <si>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</si>
  <si>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</si>
  <si>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</si>
  <si>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</si>
  <si>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</si>
  <si>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</si>
  <si>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</si>
  <si>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</si>
  <si>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</si>
  <si>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</si>
  <si>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</si>
  <si>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</si>
  <si>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</si>
  <si>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</si>
  <si>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</si>
  <si>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</si>
  <si>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</si>
  <si>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</si>
  <si>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</si>
  <si>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</si>
  <si>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</si>
  <si>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</si>
  <si>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</si>
  <si>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</si>
  <si>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</si>
  <si>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</si>
  <si>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</si>
  <si>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</si>
  <si>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</si>
  <si>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</si>
  <si>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</si>
  <si>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</si>
  <si>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</si>
  <si>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</si>
  <si>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</si>
  <si>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</si>
  <si>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</si>
  <si>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</si>
  <si>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</si>
  <si>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</si>
  <si>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</si>
  <si>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</si>
  <si>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</si>
  <si>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</si>
  <si>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</si>
  <si>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</si>
  <si>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</si>
  <si>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</si>
  <si>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</si>
  <si>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</si>
  <si>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</si>
  <si>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</si>
  <si>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</si>
  <si>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</si>
  <si>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</si>
  <si>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</si>
  <si>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</si>
  <si>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</si>
  <si>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</si>
  <si>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</si>
  <si>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</si>
  <si>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</si>
  <si>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</si>
  <si>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</si>
  <si>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</si>
  <si>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</si>
  <si>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</si>
  <si>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</si>
  <si>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</si>
  <si>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</si>
  <si>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</si>
  <si>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</si>
  <si>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</si>
  <si>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</si>
  <si>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</si>
  <si>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</si>
  <si>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</si>
  <si>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</si>
  <si>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</si>
  <si>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</si>
  <si>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</si>
  <si>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</si>
  <si>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</si>
  <si>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</si>
  <si>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</si>
  <si>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</si>
  <si>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</si>
  <si>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</si>
  <si>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</si>
  <si>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</si>
  <si>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</si>
  <si>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</si>
  <si>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</si>
  <si>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</si>
  <si>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</si>
  <si>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</si>
  <si>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</si>
  <si>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</si>
  <si>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</si>
  <si>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</si>
  <si>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</si>
  <si>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</si>
  <si>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</si>
  <si>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</si>
  <si>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</si>
  <si>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</si>
  <si>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</si>
  <si>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</si>
  <si>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</si>
  <si>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</si>
  <si>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</si>
  <si>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</si>
  <si>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</si>
  <si>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</si>
  <si>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</si>
  <si>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</si>
  <si>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</si>
  <si>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</si>
  <si>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</si>
  <si>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</si>
  <si>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</si>
  <si>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</si>
  <si>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</si>
  <si>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</si>
  <si>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</si>
  <si>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</si>
  <si>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</si>
  <si>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</si>
  <si>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</si>
  <si>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</si>
  <si>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</si>
  <si>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</si>
  <si>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</si>
  <si>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</si>
  <si>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</si>
  <si>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</si>
  <si>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</si>
  <si>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</si>
  <si>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</si>
  <si>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</si>
  <si>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</si>
  <si>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</si>
  <si>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</si>
  <si>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</si>
  <si>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</si>
  <si>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</si>
  <si>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</si>
  <si>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</si>
  <si>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</si>
  <si>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</si>
  <si>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</si>
  <si>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</si>
  <si>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</si>
  <si>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</si>
  <si>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</si>
  <si>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</si>
  <si>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</si>
  <si>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</si>
  <si>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</si>
  <si>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</si>
  <si>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</si>
  <si>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</si>
  <si>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</si>
  <si>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</si>
  <si>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</si>
  <si>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</si>
  <si>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</si>
  <si>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</si>
  <si>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</si>
  <si>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</si>
  <si>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</si>
  <si>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</si>
  <si>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</si>
  <si>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</si>
  <si>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</si>
  <si>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</si>
  <si>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</si>
  <si>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</si>
  <si>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</si>
  <si>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</si>
  <si>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</si>
  <si>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</si>
  <si>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</si>
  <si>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</si>
  <si>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</si>
  <si>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</si>
  <si>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</si>
  <si>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</si>
  <si>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</si>
  <si>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</si>
  <si>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</si>
  <si>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</si>
  <si>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</si>
  <si>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</si>
  <si>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</si>
  <si>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</si>
  <si>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</si>
  <si>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</si>
  <si>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</si>
  <si>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</si>
  <si>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</si>
  <si>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</si>
  <si>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</si>
  <si>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</si>
  <si>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</si>
  <si>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</si>
  <si>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</si>
  <si>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</si>
  <si>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</si>
  <si>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</si>
  <si>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</si>
  <si>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</si>
  <si>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</si>
  <si>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</si>
  <si>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</si>
  <si>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</si>
  <si>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</si>
  <si>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</si>
  <si>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</si>
  <si>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</si>
  <si>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</si>
  <si>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</si>
  <si>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</si>
  <si>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</si>
  <si>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</si>
  <si>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</si>
  <si>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</si>
  <si>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</si>
  <si>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</si>
  <si>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</si>
  <si>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</si>
  <si>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</si>
  <si>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</si>
  <si>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</si>
  <si>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</si>
  <si>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</si>
  <si>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</si>
  <si>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</si>
  <si>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</si>
  <si>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</si>
  <si>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</si>
  <si>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</si>
  <si>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</si>
  <si>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</si>
  <si>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</si>
  <si>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</si>
  <si>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</si>
  <si>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</si>
  <si>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</si>
  <si>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</si>
  <si>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</si>
  <si>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</si>
  <si>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</si>
  <si>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</si>
  <si>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</si>
  <si>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</si>
  <si>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</si>
  <si>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</si>
  <si>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</si>
  <si>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</si>
  <si>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</si>
  <si>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</si>
  <si>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</si>
  <si>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</si>
  <si>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</si>
  <si>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</si>
  <si>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</si>
  <si>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</si>
  <si>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</si>
  <si>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</si>
  <si>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</si>
  <si>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</si>
  <si>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</si>
  <si>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</si>
  <si>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</si>
  <si>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</si>
  <si>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</si>
  <si>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</si>
  <si>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</si>
  <si>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</si>
  <si>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</si>
  <si>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</si>
  <si>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</si>
  <si>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</si>
  <si>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</si>
  <si>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</si>
  <si>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</si>
  <si>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</si>
  <si>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</si>
  <si>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</si>
  <si>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</si>
  <si>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</si>
  <si>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</si>
  <si>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</si>
  <si>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</si>
  <si>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</si>
  <si>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</si>
  <si>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</si>
  <si>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</si>
  <si>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</si>
  <si>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</si>
  <si>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</si>
  <si>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</si>
  <si>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</si>
  <si>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</si>
  <si>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</si>
  <si>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</si>
  <si>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</si>
  <si>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</si>
  <si>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</si>
  <si>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</si>
  <si>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</si>
  <si>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</si>
  <si>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</si>
  <si>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</si>
  <si>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</si>
  <si>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</si>
  <si>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</si>
  <si>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</si>
  <si>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</si>
  <si>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</si>
  <si>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</si>
  <si>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</si>
  <si>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</si>
  <si>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</si>
  <si>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</si>
  <si>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</si>
  <si>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</si>
  <si>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</si>
  <si>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</si>
  <si>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</si>
  <si>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</si>
  <si>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</si>
  <si>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</si>
  <si>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</si>
  <si>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</si>
  <si>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</si>
  <si>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</si>
  <si>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</si>
  <si>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</si>
  <si>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</si>
  <si>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</si>
  <si>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</si>
  <si>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</si>
  <si>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</si>
  <si>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</si>
  <si>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</si>
  <si>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</si>
  <si>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</si>
  <si>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</si>
  <si>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</si>
  <si>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</si>
  <si>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</si>
  <si>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</si>
  <si>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</si>
  <si>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</si>
  <si>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</si>
  <si>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</si>
  <si>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</si>
  <si>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</si>
  <si>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</si>
  <si>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</si>
  <si>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</si>
  <si>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</si>
  <si>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</si>
  <si>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</si>
  <si>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</si>
  <si>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</si>
  <si>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</si>
  <si>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</si>
  <si>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</si>
  <si>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</si>
  <si>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</si>
  <si>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</si>
  <si>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</si>
  <si>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</si>
  <si>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</si>
  <si>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</si>
  <si>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</si>
  <si>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</si>
  <si>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</si>
  <si>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</si>
  <si>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</si>
  <si>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</si>
  <si>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</si>
  <si>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</si>
  <si>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</si>
  <si>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</si>
  <si>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</si>
  <si>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</si>
  <si>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</si>
  <si>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</si>
  <si>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</si>
  <si>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</si>
  <si>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</si>
  <si>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</si>
  <si>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</si>
  <si>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</si>
  <si>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</si>
  <si>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</si>
  <si>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</si>
  <si>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</si>
  <si>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</si>
  <si>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</si>
  <si>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</si>
  <si>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</si>
  <si>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</si>
  <si>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</si>
  <si>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</si>
  <si>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</si>
  <si>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</si>
  <si>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</si>
  <si>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</si>
  <si>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</si>
  <si>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</si>
  <si>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</si>
  <si>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</si>
  <si>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</si>
  <si>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</si>
  <si>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</si>
  <si>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</si>
  <si>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</si>
  <si>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</si>
  <si>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</si>
  <si>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</si>
  <si>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</si>
  <si>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</si>
  <si>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</si>
  <si>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</si>
  <si>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</si>
  <si>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</si>
  <si>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</si>
  <si>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</si>
  <si>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</si>
  <si>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</si>
  <si>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</si>
  <si>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</si>
  <si>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</si>
  <si>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</si>
  <si>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</si>
  <si>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</si>
  <si>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</si>
  <si>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</si>
  <si>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</si>
  <si>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</si>
  <si>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</si>
  <si>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</si>
  <si>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</si>
  <si>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</si>
  <si>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</si>
  <si>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</si>
  <si>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</si>
  <si>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</si>
  <si>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</si>
  <si>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</si>
  <si>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</si>
  <si>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</si>
  <si>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</si>
  <si>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</si>
  <si>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</si>
  <si>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</si>
  <si>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</si>
  <si>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</si>
  <si>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</si>
  <si>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</si>
  <si>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</si>
  <si>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</si>
  <si>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</si>
  <si>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</si>
  <si>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</si>
  <si>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</si>
  <si>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</si>
  <si>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</si>
  <si>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</si>
  <si>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</si>
  <si>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</si>
  <si>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</si>
  <si>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</si>
  <si>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</si>
  <si>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</si>
  <si>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</si>
  <si>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</si>
  <si>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</si>
  <si>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</si>
  <si>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</si>
  <si>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</si>
  <si>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</si>
  <si>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</si>
  <si>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</si>
  <si>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</si>
  <si>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</si>
  <si>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</si>
  <si>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</si>
  <si>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</si>
  <si>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</si>
  <si>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</si>
  <si>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</si>
  <si>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</si>
  <si>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</si>
  <si>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</si>
  <si>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</si>
  <si>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</si>
  <si>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</si>
  <si>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</si>
  <si>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</si>
  <si>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</si>
  <si>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</si>
  <si>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</si>
  <si>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</si>
  <si>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</si>
  <si>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</si>
  <si>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</si>
  <si>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</si>
  <si>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</si>
  <si>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</si>
  <si>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</si>
  <si>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</si>
  <si>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</si>
  <si>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</si>
  <si>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</si>
  <si>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</si>
  <si>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</si>
  <si>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</si>
  <si>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</si>
  <si>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</si>
  <si>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</si>
  <si>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</si>
  <si>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</si>
  <si>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</si>
  <si>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</si>
  <si>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</si>
  <si>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</si>
  <si>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</si>
  <si>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</si>
  <si>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</si>
  <si>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</si>
  <si>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</si>
  <si>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</si>
  <si>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</si>
  <si>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</si>
  <si>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</si>
  <si>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</si>
  <si>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</si>
  <si>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</si>
  <si>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</si>
  <si>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</si>
  <si>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</si>
  <si>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</si>
  <si>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</si>
  <si>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</si>
  <si>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</si>
  <si>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</si>
  <si>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</si>
  <si>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</si>
  <si>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</si>
  <si>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</si>
  <si>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</si>
  <si>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</si>
  <si>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</si>
  <si>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</si>
  <si>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</si>
  <si>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</si>
  <si>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</si>
  <si>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</si>
  <si>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</si>
  <si>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</si>
  <si>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</si>
  <si>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</si>
  <si>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</si>
  <si>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</si>
  <si>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</si>
  <si>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</si>
  <si>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</si>
  <si>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</si>
  <si>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</si>
  <si>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</si>
  <si>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</si>
  <si>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</si>
  <si>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</si>
  <si>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</si>
  <si>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</si>
  <si>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</si>
  <si>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</si>
  <si>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</si>
  <si>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</si>
  <si>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</si>
  <si>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</si>
  <si>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</si>
  <si>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</si>
  <si>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</si>
  <si>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</si>
  <si>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</si>
  <si>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</si>
  <si>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</si>
  <si>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</si>
  <si>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</si>
  <si>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</si>
  <si>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</si>
  <si>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</si>
  <si>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</si>
  <si>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</si>
  <si>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</si>
  <si>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</si>
  <si>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</si>
  <si>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</si>
  <si>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</si>
  <si>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</si>
  <si>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</si>
  <si>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</si>
  <si>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</si>
  <si>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</si>
  <si>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</si>
  <si>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</si>
  <si>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</si>
  <si>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</si>
  <si>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</si>
  <si>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</si>
  <si>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</si>
  <si>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</si>
  <si>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</si>
  <si>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</si>
  <si>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</si>
  <si>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</si>
  <si>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</si>
  <si>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</si>
  <si>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</si>
  <si>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</si>
  <si>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</si>
  <si>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</si>
  <si>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</si>
  <si>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</si>
  <si>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</si>
  <si>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</si>
  <si>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</si>
  <si>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</si>
  <si>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</si>
  <si>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</si>
  <si>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</si>
  <si>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</si>
  <si>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</si>
  <si>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</si>
  <si>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</si>
  <si>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</si>
  <si>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</si>
  <si>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</si>
  <si>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</si>
  <si>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</si>
  <si>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</si>
  <si>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</si>
  <si>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</si>
  <si>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</si>
  <si>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</si>
  <si>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</si>
  <si>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</si>
  <si>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</si>
  <si>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</si>
  <si>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</si>
  <si>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</si>
  <si>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</si>
  <si>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</si>
  <si>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</si>
  <si>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</si>
  <si>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</si>
  <si>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</si>
  <si>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</si>
  <si>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</si>
  <si>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</si>
  <si>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</si>
  <si>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</si>
  <si>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</si>
  <si>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</si>
  <si>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</si>
  <si>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</si>
  <si>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</si>
  <si>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</si>
  <si>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</si>
  <si>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</si>
  <si>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</si>
  <si>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</si>
  <si>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</si>
  <si>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</si>
  <si>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</si>
  <si>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</si>
  <si>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</si>
  <si>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</si>
  <si>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</si>
  <si>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</si>
  <si>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</si>
  <si>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</si>
  <si>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</si>
  <si>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</si>
  <si>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</si>
  <si>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</si>
  <si>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</si>
  <si>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</si>
  <si>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</si>
  <si>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</si>
  <si>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</si>
  <si>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</si>
  <si>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</si>
  <si>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</si>
  <si>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</si>
  <si>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</si>
  <si>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</si>
  <si>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</si>
  <si>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</si>
  <si>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</si>
  <si>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</si>
  <si>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</si>
  <si>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</si>
  <si>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</si>
  <si>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</si>
  <si>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</si>
  <si>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</si>
  <si>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</si>
  <si>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</si>
  <si>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</si>
  <si>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</si>
  <si>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</si>
  <si>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</si>
  <si>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</si>
  <si>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</si>
  <si>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</si>
  <si>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</si>
  <si>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</si>
  <si>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</si>
  <si>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</si>
  <si>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</si>
  <si>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</si>
  <si>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</si>
  <si>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</si>
  <si>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</si>
  <si>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</si>
  <si>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</si>
  <si>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</si>
  <si>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</si>
  <si>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</si>
  <si>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</si>
  <si>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</si>
  <si>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</si>
  <si>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</si>
  <si>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</si>
  <si>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</si>
  <si>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</si>
  <si>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</si>
  <si>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</si>
  <si>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</si>
  <si>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</si>
  <si>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</si>
  <si>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</si>
  <si>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</si>
  <si>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</si>
  <si>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</si>
  <si>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</si>
  <si>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</si>
  <si>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</si>
  <si>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</si>
  <si>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</si>
  <si>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</si>
  <si>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</si>
  <si>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</si>
  <si>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</si>
  <si>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</si>
  <si>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</si>
  <si>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</si>
  <si>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</si>
  <si>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</si>
  <si>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</si>
  <si>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</si>
  <si>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</si>
  <si>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</si>
  <si>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</si>
  <si>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</si>
  <si>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</si>
  <si>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</si>
  <si>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</si>
  <si>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</si>
  <si>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</si>
  <si>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</si>
  <si>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</si>
  <si>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</si>
  <si>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</si>
  <si>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</si>
  <si>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</si>
  <si>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</si>
  <si>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</si>
  <si>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</si>
  <si>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</si>
  <si>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</si>
  <si>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</si>
  <si>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</si>
  <si>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</si>
  <si>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</si>
  <si>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</si>
  <si>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</si>
  <si>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</si>
  <si>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</si>
  <si>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</si>
  <si>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</si>
  <si>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</si>
  <si>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</si>
  <si>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</si>
  <si>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</si>
  <si>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</si>
  <si>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</si>
  <si>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</si>
  <si>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</si>
  <si>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</si>
  <si>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</si>
  <si>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</si>
  <si>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</si>
  <si>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</si>
  <si>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</si>
  <si>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</si>
  <si>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</si>
  <si>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</si>
  <si>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</si>
  <si>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</si>
  <si>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</si>
  <si>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</si>
  <si>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</si>
  <si>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</si>
  <si>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</si>
  <si>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</si>
  <si>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</si>
  <si>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</si>
  <si>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</si>
  <si>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</si>
  <si>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</si>
  <si>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</si>
  <si>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</si>
  <si>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</si>
  <si>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</si>
  <si>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</si>
  <si>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</si>
  <si>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</si>
  <si>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</si>
  <si>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</si>
  <si>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</si>
  <si>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</si>
  <si>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</si>
  <si>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</si>
  <si>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</si>
  <si>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</si>
  <si>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</si>
  <si>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</si>
  <si>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</si>
  <si>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</si>
  <si>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</si>
  <si>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</si>
  <si>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</si>
  <si>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</si>
  <si>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</si>
  <si>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</si>
  <si>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</si>
  <si>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</si>
  <si>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</si>
  <si>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</si>
  <si>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</si>
  <si>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</si>
  <si>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</si>
  <si>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</si>
  <si>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</si>
  <si>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</si>
  <si>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</si>
  <si>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</si>
  <si>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</si>
  <si>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</si>
  <si>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</si>
  <si>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</si>
  <si>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</si>
  <si>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</si>
  <si>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</si>
  <si>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</si>
  <si>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</si>
  <si>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</si>
  <si>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</si>
  <si>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</si>
  <si>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</si>
  <si>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</si>
  <si>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</si>
  <si>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</si>
  <si>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</si>
  <si>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</si>
  <si>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</si>
  <si>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</si>
  <si>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</si>
  <si>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</si>
  <si>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</si>
  <si>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</si>
  <si>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</si>
  <si>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</si>
  <si>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</si>
  <si>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</si>
  <si>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</si>
  <si>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</si>
  <si>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</si>
  <si>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</si>
  <si>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</si>
  <si>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</si>
  <si>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</si>
  <si>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</si>
  <si>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</si>
  <si>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</si>
  <si>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</si>
  <si>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</si>
  <si>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</si>
  <si>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</si>
  <si>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</si>
  <si>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</si>
  <si>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</si>
  <si>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</si>
  <si>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</si>
  <si>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</si>
  <si>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</si>
  <si>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</si>
  <si>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</si>
  <si>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</si>
  <si>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</si>
  <si>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</si>
  <si>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</si>
  <si>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</si>
  <si>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</si>
  <si>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</si>
  <si>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</si>
  <si>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</si>
  <si>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</si>
  <si>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</si>
  <si>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</si>
  <si>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</si>
  <si>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</si>
  <si>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</si>
  <si>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</si>
  <si>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</si>
  <si>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</si>
  <si>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</si>
  <si>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</si>
  <si>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</si>
  <si>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</si>
  <si>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</si>
  <si>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</si>
  <si>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</si>
  <si>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</si>
  <si>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</si>
  <si>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</si>
  <si>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</si>
  <si>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</si>
  <si>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</si>
  <si>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</si>
  <si>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</si>
  <si>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</si>
  <si>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</si>
  <si>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</si>
  <si>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</si>
  <si>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</si>
  <si>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</si>
  <si>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</si>
  <si>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</si>
  <si>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</si>
  <si>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</si>
  <si>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</si>
  <si>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</si>
  <si>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</si>
  <si>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</si>
  <si>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</si>
  <si>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</si>
  <si>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</si>
  <si>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</si>
  <si>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</si>
  <si>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</si>
  <si>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</si>
  <si>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</si>
  <si>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</si>
  <si>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</si>
  <si>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</si>
  <si>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</si>
  <si>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</si>
  <si>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</si>
  <si>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</si>
  <si>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</si>
  <si>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</si>
  <si>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</si>
  <si>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</si>
  <si>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</si>
  <si>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</si>
  <si>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</si>
  <si>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</si>
  <si>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</si>
  <si>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</si>
  <si>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</si>
  <si>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</si>
  <si>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</si>
  <si>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</si>
  <si>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</si>
  <si>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</si>
  <si>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</si>
  <si>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</si>
  <si>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</si>
  <si>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</si>
  <si>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</si>
  <si>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</si>
  <si>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</si>
  <si>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</si>
  <si>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</si>
  <si>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</si>
  <si>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</si>
  <si>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</si>
  <si>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</si>
  <si>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</si>
  <si>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</si>
  <si>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</si>
  <si>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</si>
  <si>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</si>
  <si>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</si>
  <si>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</si>
  <si>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</si>
  <si>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</si>
  <si>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</si>
  <si>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</si>
  <si>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</si>
  <si>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</si>
  <si>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</si>
  <si>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</si>
  <si>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</si>
  <si>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</si>
  <si>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</si>
  <si>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</si>
  <si>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</si>
  <si>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</si>
  <si>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</si>
  <si>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</si>
  <si>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</si>
  <si>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</si>
  <si>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</si>
  <si>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</si>
  <si>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</si>
  <si>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</si>
  <si>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</si>
  <si>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</si>
  <si>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</si>
  <si>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</si>
  <si>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</si>
  <si>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</si>
  <si>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</si>
  <si>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</si>
  <si>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</si>
  <si>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</si>
  <si>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</si>
  <si>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</si>
  <si>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</si>
  <si>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</si>
  <si>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</si>
  <si>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</si>
  <si>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</si>
  <si>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</si>
  <si>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</si>
  <si>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</si>
  <si>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</si>
  <si>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</si>
  <si>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</si>
  <si>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</si>
  <si>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</si>
  <si>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</si>
  <si>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</si>
  <si>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</si>
  <si>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</si>
  <si>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</si>
  <si>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</si>
  <si>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</si>
  <si>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</si>
  <si>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</si>
  <si>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</si>
  <si>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</si>
  <si>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</si>
  <si>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</si>
  <si>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</si>
  <si>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</si>
  <si>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</si>
  <si>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</si>
  <si>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</si>
  <si>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</si>
  <si>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</si>
  <si>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</si>
  <si>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</si>
  <si>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</si>
  <si>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</si>
  <si>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</si>
  <si>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</si>
  <si>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</si>
  <si>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</si>
  <si>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</si>
  <si>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</si>
  <si>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</si>
  <si>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</si>
  <si>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</si>
  <si>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</si>
  <si>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</si>
  <si>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</si>
  <si>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</si>
  <si>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</si>
  <si>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</si>
  <si>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</si>
  <si>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</si>
  <si>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</si>
  <si>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</si>
  <si>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</si>
  <si>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</si>
  <si>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</si>
  <si>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</si>
  <si>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</si>
  <si>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</si>
  <si>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</si>
  <si>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</si>
  <si>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</si>
  <si>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</si>
  <si>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</si>
  <si>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</si>
  <si>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</si>
  <si>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</si>
  <si>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</si>
  <si>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</si>
  <si>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</si>
  <si>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</si>
  <si>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</si>
  <si>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</si>
  <si>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</si>
  <si>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</si>
  <si>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</si>
  <si>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</si>
  <si>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</si>
  <si>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</si>
  <si>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</si>
  <si>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</si>
  <si>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</si>
  <si>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</si>
  <si>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</si>
  <si>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</si>
  <si>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</si>
  <si>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</si>
  <si>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</si>
  <si>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</si>
  <si>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</si>
  <si>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</si>
  <si>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</si>
  <si>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</si>
  <si>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</si>
  <si>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</si>
  <si>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</si>
  <si>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</si>
  <si>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</si>
  <si>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</si>
  <si>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</si>
  <si>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</si>
  <si>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</si>
  <si>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</si>
  <si>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</si>
  <si>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</si>
  <si>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</si>
  <si>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</si>
  <si>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</si>
  <si>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</si>
  <si>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</si>
  <si>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</si>
  <si>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</si>
  <si>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</si>
  <si>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</si>
  <si>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</si>
  <si>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</si>
  <si>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</si>
  <si>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</si>
  <si>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</si>
  <si>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</si>
  <si>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</si>
  <si>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</si>
  <si>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</si>
  <si>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</si>
  <si>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</si>
  <si>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</si>
  <si>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</si>
  <si>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</si>
  <si>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</si>
  <si>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</si>
  <si>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</si>
  <si>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</si>
  <si>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</si>
  <si>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</si>
  <si>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</si>
  <si>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</si>
  <si>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</si>
  <si>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</si>
  <si>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</si>
  <si>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</si>
  <si>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</si>
  <si>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</si>
  <si>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</si>
  <si>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</si>
  <si>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</si>
  <si>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</si>
  <si>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</si>
  <si>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</si>
  <si>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</si>
  <si>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</si>
  <si>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</si>
  <si>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</si>
  <si>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</si>
  <si>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</si>
  <si>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</si>
  <si>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</si>
  <si>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</si>
  <si>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</si>
  <si>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</si>
  <si>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</si>
  <si>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</si>
  <si>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</si>
  <si>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</si>
  <si>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</si>
  <si>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</si>
  <si>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</si>
  <si>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</si>
  <si>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</si>
  <si>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</si>
  <si>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</si>
  <si>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</si>
  <si>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</si>
  <si>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</si>
  <si>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</si>
  <si>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</si>
  <si>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</si>
  <si>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</si>
  <si>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</si>
  <si>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</si>
  <si>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</si>
  <si>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</si>
  <si>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</si>
  <si>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</si>
  <si>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</si>
  <si>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</si>
  <si>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</si>
  <si>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</si>
  <si>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</si>
  <si>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</si>
  <si>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</si>
  <si>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</si>
  <si>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</si>
  <si>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</si>
  <si>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</si>
  <si>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</si>
  <si>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</si>
  <si>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</si>
  <si>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</si>
  <si>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</si>
  <si>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</si>
  <si>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</si>
  <si>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</si>
  <si>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</si>
  <si>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</si>
  <si>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</si>
  <si>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</si>
  <si>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</si>
  <si>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</si>
  <si>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</si>
  <si>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</si>
  <si>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</si>
  <si>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</si>
  <si>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</si>
  <si>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</si>
  <si>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</si>
  <si>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</si>
  <si>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</si>
  <si>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</si>
  <si>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</si>
  <si>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</si>
  <si>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</si>
  <si>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</si>
  <si>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</si>
  <si>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</si>
  <si>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</si>
  <si>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</si>
  <si>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</si>
  <si>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</si>
  <si>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</si>
  <si>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</si>
  <si>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</si>
  <si>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</si>
  <si>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</si>
  <si>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</si>
  <si>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</si>
  <si>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</si>
  <si>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</si>
  <si>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</si>
  <si>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</si>
  <si>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</si>
  <si>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</si>
  <si>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</si>
  <si>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</si>
  <si>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</si>
  <si>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</si>
  <si>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</si>
  <si>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</si>
  <si>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</si>
  <si>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</si>
  <si>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</si>
  <si>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</si>
  <si>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</si>
  <si>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</si>
  <si>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</si>
  <si>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</si>
  <si>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</si>
  <si>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</si>
  <si>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</si>
  <si>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</si>
  <si>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</si>
  <si>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</si>
  <si>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</si>
  <si>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</si>
  <si>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</si>
  <si>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</si>
  <si>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</si>
  <si>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</si>
  <si>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</si>
  <si>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</si>
  <si>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</si>
  <si>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</si>
  <si>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</si>
  <si>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</si>
  <si>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</si>
  <si>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</si>
  <si>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</si>
  <si>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</si>
  <si>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</si>
  <si>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</si>
  <si>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 xml:space="preserve">Total Employees </t>
  </si>
  <si>
    <t>Attrition Count</t>
  </si>
  <si>
    <t>Average age</t>
  </si>
  <si>
    <t>Active Employees</t>
  </si>
  <si>
    <t>Attrition Rate</t>
  </si>
  <si>
    <t xml:space="preserve"> =</t>
  </si>
  <si>
    <t>Average of Job Satisfaction</t>
  </si>
  <si>
    <t>Rating</t>
  </si>
  <si>
    <t>Balance Rating</t>
  </si>
  <si>
    <t>Row Labels</t>
  </si>
  <si>
    <t>Grand Total</t>
  </si>
  <si>
    <t>Count of Employee Count</t>
  </si>
  <si>
    <t>Sum of CF_attrition counts</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</si>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</sst>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theme="9" tint="0.39997558519241921"/>
      <name val="Calibri"/>
      <family val="2"/>
      <scheme val="minor"/>
    </font>
    <font>
      <sz val="12"/>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8">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 fontId="0" fillId="0" borderId="0" xfId="0" applyNumberFormat="1"/>
    <xf numFmtId="10" fontId="0" fillId="0" borderId="0" xfId="1" applyNumberFormat="1" applyFont="1"/>
    <xf numFmtId="0" fontId="0" fillId="2" borderId="0" xfId="0" applyFill="1"/>
    <xf numFmtId="0" fontId="2" fillId="2" borderId="0" xfId="0" applyFont="1" applyFill="1"/>
    <xf numFmtId="0" fontId="0" fillId="0" borderId="7" xfId="0" applyBorder="1"/>
    <xf numFmtId="0" fontId="0" fillId="0" borderId="8" xfId="0" applyBorder="1"/>
    <xf numFmtId="0" fontId="0" fillId="0" borderId="15" xfId="0" applyBorder="1"/>
    <xf numFmtId="0" fontId="0" fillId="0" borderId="16" xfId="0" applyBorder="1"/>
    <xf numFmtId="164" fontId="0" fillId="0" borderId="16" xfId="0" applyNumberFormat="1" applyBorder="1"/>
    <xf numFmtId="0" fontId="3" fillId="0" borderId="0" xfId="0" applyFont="1"/>
    <xf numFmtId="164" fontId="0" fillId="0" borderId="0" xfId="0" applyNumberFormat="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12" xfId="0" applyNumberFormat="1" applyBorder="1"/>
    <xf numFmtId="164" fontId="0" fillId="0" borderId="13" xfId="0" applyNumberFormat="1" applyBorder="1"/>
    <xf numFmtId="164" fontId="0" fillId="0" borderId="14" xfId="0" applyNumberFormat="1" applyBorder="1"/>
    <xf numFmtId="0" fontId="0" fillId="0" borderId="3" xfId="0" applyBorder="1"/>
    <xf numFmtId="0" fontId="0" fillId="0" borderId="6" xfId="0" applyBorder="1"/>
    <xf numFmtId="0" fontId="0" fillId="0" borderId="4" xfId="0" applyBorder="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17" xfId="0" applyBorder="1"/>
    <xf numFmtId="0" fontId="0" fillId="0" borderId="3" xfId="0" applyBorder="1" applyAlignment="1">
      <alignment horizontal="left"/>
    </xf>
    <xf numFmtId="0" fontId="0" fillId="0" borderId="0" xfId="0" applyAlignment="1">
      <alignment horizontal="left"/>
    </xf>
    <xf numFmtId="9" fontId="3" fillId="0" borderId="0" xfId="1" applyFont="1"/>
    <xf numFmtId="10" fontId="0" fillId="0" borderId="15" xfId="0" applyNumberFormat="1" applyBorder="1"/>
    <xf numFmtId="10" fontId="0" fillId="0" borderId="17" xfId="0" applyNumberFormat="1" applyBorder="1"/>
    <xf numFmtId="10" fontId="0" fillId="0" borderId="16" xfId="0" applyNumberFormat="1" applyBorder="1"/>
  </cellXfs>
  <cellStyles count="2">
    <cellStyle name="Normal" xfId="0" builtinId="0"/>
    <cellStyle name="Percent" xfId="1" builtinId="5"/>
  </cellStyles>
  <dxfs count="9">
    <dxf>
      <numFmt numFmtId="164" formatCode="0.0"/>
    </dxf>
    <dxf>
      <numFmt numFmtId="164" formatCode="0.0"/>
    </dxf>
    <dxf>
      <numFmt numFmtId="164" formatCode="0.0"/>
    </dxf>
    <dxf>
      <numFmt numFmtId="164" formatCode="0.0"/>
    </dxf>
    <dxf>
      <border diagonalUp="0" diagonalDown="0">
        <left/>
        <right/>
        <top/>
        <bottom/>
        <vertical/>
        <horizontal/>
      </border>
    </dxf>
    <dxf>
      <border diagonalUp="0" diagonalDown="0">
        <left/>
        <right/>
        <top/>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8"/>
      <tableStyleElement type="firstRowStripe" dxfId="7"/>
      <tableStyleElement type="secondRowStripe" dxfId="6"/>
    </tableStyle>
    <tableStyle name="Slicer" pivot="0" table="0" count="1" xr9:uid="{2AF83299-E717-428E-A784-A55289220098}">
      <tableStyleElement type="wholeTable" dxfId="5"/>
    </tableStyle>
    <tableStyle name="Slicer Style 1" pivot="0" table="0" count="1" xr9:uid="{AF0E19A2-89C7-46E5-9186-6284FEB917FA}">
      <tableStyleElement type="wholeTable" dxfId="4"/>
    </tableStyle>
  </tableStyles>
  <colors>
    <mruColors>
      <color rgb="FFFF0066"/>
      <color rgb="FFFF7C80"/>
      <color rgb="FFDE2AD1"/>
      <color rgb="FFCCFF33"/>
    </mruColors>
  </colors>
  <extLst>
    <ext xmlns:x14="http://schemas.microsoft.com/office/spreadsheetml/2009/9/main" uri="{EB79DEF2-80B8-43e5-95BD-54CBDDF9020C}">
      <x14:slicerStyles defaultSlicerStyle="SlicerStyleLight1">
        <x14:slicerStyle name="Slicer"/>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29307505763301"/>
          <c:y val="0.10107299362910033"/>
          <c:w val="0.66715470961444612"/>
          <c:h val="0.8613736609955892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03-4472-AC69-A437DC71C6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03-4472-AC69-A437DC71C6B4}"/>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B3C1-44FC-AC0A-AA618F1A11F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D873-47D1-99C6-B692CA56DB49}"/>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2-D873-47D1-99C6-B692CA56DB49}"/>
            </c:ext>
          </c:extLst>
        </c:ser>
        <c:dLbls>
          <c:showLegendKey val="0"/>
          <c:showVal val="0"/>
          <c:showCatName val="0"/>
          <c:showSerName val="0"/>
          <c:showPercent val="0"/>
          <c:showBubbleSize val="0"/>
        </c:dLbls>
        <c:gapWidth val="0"/>
        <c:overlap val="100"/>
        <c:axId val="2054470800"/>
        <c:axId val="2054471280"/>
      </c:barChart>
      <c:catAx>
        <c:axId val="2054470800"/>
        <c:scaling>
          <c:orientation val="minMax"/>
        </c:scaling>
        <c:delete val="1"/>
        <c:axPos val="l"/>
        <c:majorTickMark val="out"/>
        <c:minorTickMark val="none"/>
        <c:tickLblPos val="nextTo"/>
        <c:crossAx val="2054471280"/>
        <c:crosses val="autoZero"/>
        <c:auto val="1"/>
        <c:lblAlgn val="ctr"/>
        <c:lblOffset val="100"/>
        <c:noMultiLvlLbl val="0"/>
      </c:catAx>
      <c:valAx>
        <c:axId val="2054471280"/>
        <c:scaling>
          <c:orientation val="minMax"/>
          <c:max val="4"/>
        </c:scaling>
        <c:delete val="1"/>
        <c:axPos val="b"/>
        <c:numFmt formatCode="0.0" sourceLinked="1"/>
        <c:majorTickMark val="out"/>
        <c:minorTickMark val="none"/>
        <c:tickLblPos val="nextTo"/>
        <c:crossAx val="205447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B4-4540-8E12-A9BED7B096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B4-4540-8E12-A9BED7B0966F}"/>
              </c:ext>
            </c:extLst>
          </c:dPt>
          <c:val>
            <c:numRef>
              <c:f>Gender!$C$9:$C$10</c:f>
              <c:numCache>
                <c:formatCode>0%</c:formatCode>
                <c:ptCount val="2"/>
                <c:pt idx="0">
                  <c:v>0.4</c:v>
                </c:pt>
                <c:pt idx="1">
                  <c:v>1</c:v>
                </c:pt>
              </c:numCache>
            </c:numRef>
          </c:val>
          <c:extLst>
            <c:ext xmlns:c16="http://schemas.microsoft.com/office/drawing/2014/chart" uri="{C3380CC4-5D6E-409C-BE32-E72D297353CC}">
              <c16:uniqueId val="{00000000-446D-4713-BCFA-E004D8DFCB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01-4B5F-8D40-787219CA6E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01-4B5F-8D40-787219CA6ECA}"/>
              </c:ext>
            </c:extLst>
          </c:dPt>
          <c:val>
            <c:numRef>
              <c:f>Gender!$C$9:$C$10</c:f>
              <c:numCache>
                <c:formatCode>0%</c:formatCode>
                <c:ptCount val="2"/>
                <c:pt idx="0">
                  <c:v>0.4</c:v>
                </c:pt>
                <c:pt idx="1">
                  <c:v>1</c:v>
                </c:pt>
              </c:numCache>
            </c:numRef>
          </c:val>
          <c:extLst>
            <c:ext xmlns:c16="http://schemas.microsoft.com/office/drawing/2014/chart" uri="{C3380CC4-5D6E-409C-BE32-E72D297353CC}">
              <c16:uniqueId val="{00000000-ED32-467C-B476-3481BE4EF81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Dashboard_Excel.xlsx]EducationByAttrition!EducationByAttrition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EducationByAttrition!$B$3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EducationByAttrition!$A$4:$A$9</c:f>
              <c:strCache>
                <c:ptCount val="5"/>
                <c:pt idx="0">
                  <c:v>Bachelor's Degree</c:v>
                </c:pt>
                <c:pt idx="1">
                  <c:v>Master's Degree</c:v>
                </c:pt>
                <c:pt idx="2">
                  <c:v>Associates Degree</c:v>
                </c:pt>
                <c:pt idx="3">
                  <c:v>High School</c:v>
                </c:pt>
                <c:pt idx="4">
                  <c:v>Doctoral Degree</c:v>
                </c:pt>
              </c:strCache>
            </c:strRef>
          </c:cat>
          <c:val>
            <c:numRef>
              <c:f>EducationByAttrition!$B$4:$B$9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2ECB-476A-B5F4-C7A75E9A8739}"/>
            </c:ext>
          </c:extLst>
        </c:ser>
        <c:dLbls>
          <c:dLblPos val="outEnd"/>
          <c:showLegendKey val="0"/>
          <c:showVal val="1"/>
          <c:showCatName val="0"/>
          <c:showSerName val="0"/>
          <c:showPercent val="0"/>
          <c:showBubbleSize val="0"/>
        </c:dLbls>
        <c:gapWidth val="182"/>
        <c:axId val="2134705696"/>
        <c:axId val="2134694176"/>
      </c:barChart>
      <c:catAx>
        <c:axId val="2134705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694176"/>
        <c:crosses val="autoZero"/>
        <c:auto val="1"/>
        <c:lblAlgn val="ctr"/>
        <c:lblOffset val="100"/>
        <c:noMultiLvlLbl val="0"/>
      </c:catAx>
      <c:valAx>
        <c:axId val="2134694176"/>
        <c:scaling>
          <c:orientation val="minMax"/>
        </c:scaling>
        <c:delete val="1"/>
        <c:axPos val="b"/>
        <c:numFmt formatCode="General" sourceLinked="1"/>
        <c:majorTickMark val="out"/>
        <c:minorTickMark val="none"/>
        <c:tickLblPos val="nextTo"/>
        <c:crossAx val="213470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Dashboard_Excel.xlsx]Department wise Attrition!Department Wise Attrition</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2E-4E1A-ADFC-A9A9127381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2E-4E1A-ADFC-A9A9127381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2E-4E1A-ADFC-A9A912738192}"/>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A32F-4D67-B794-5DC624A014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Dashboard_Excel.xlsx]ATTRITION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1518-4566-9D76-377F96890344}"/>
            </c:ext>
          </c:extLst>
        </c:ser>
        <c:dLbls>
          <c:showLegendKey val="0"/>
          <c:showVal val="0"/>
          <c:showCatName val="0"/>
          <c:showSerName val="0"/>
          <c:showPercent val="0"/>
          <c:showBubbleSize val="0"/>
        </c:dLbls>
        <c:gapWidth val="182"/>
        <c:axId val="358901776"/>
        <c:axId val="358903216"/>
      </c:barChart>
      <c:catAx>
        <c:axId val="35890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03216"/>
        <c:crosses val="autoZero"/>
        <c:auto val="1"/>
        <c:lblAlgn val="ctr"/>
        <c:lblOffset val="100"/>
        <c:noMultiLvlLbl val="0"/>
      </c:catAx>
      <c:valAx>
        <c:axId val="358903216"/>
        <c:scaling>
          <c:orientation val="minMax"/>
        </c:scaling>
        <c:delete val="1"/>
        <c:axPos val="l"/>
        <c:numFmt formatCode="General" sourceLinked="1"/>
        <c:majorTickMark val="none"/>
        <c:minorTickMark val="none"/>
        <c:tickLblPos val="nextTo"/>
        <c:crossAx val="35890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'Marital Status'!$E$3</c:f>
              <c:strCache>
                <c:ptCount val="1"/>
              </c:strCache>
            </c:strRef>
          </c:tx>
          <c:spPr>
            <a:solidFill>
              <a:schemeClr val="accent1"/>
            </a:solidFill>
            <a:ln>
              <a:noFill/>
            </a:ln>
            <a:effectLst/>
          </c:spPr>
          <c:cat>
            <c:strRef>
              <c:f>'Marital Status'!$D$4:$D$6</c:f>
              <c:strCache>
                <c:ptCount val="3"/>
                <c:pt idx="0">
                  <c:v>Divorced</c:v>
                </c:pt>
                <c:pt idx="1">
                  <c:v>Married</c:v>
                </c:pt>
                <c:pt idx="2">
                  <c:v>Single</c:v>
                </c:pt>
              </c:strCache>
            </c:strRef>
          </c:cat>
          <c:val>
            <c:numRef>
              <c:f>'Marital Status'!$E$4:$E$6</c:f>
              <c:numCache>
                <c:formatCode>General</c:formatCode>
                <c:ptCount val="3"/>
              </c:numCache>
            </c:numRef>
          </c:val>
          <c:extLst>
            <c:ext xmlns:c16="http://schemas.microsoft.com/office/drawing/2014/chart" uri="{C3380CC4-5D6E-409C-BE32-E72D297353CC}">
              <c16:uniqueId val="{00000000-6886-42D9-8326-7E374FE69B1D}"/>
            </c:ext>
          </c:extLst>
        </c:ser>
        <c:ser>
          <c:idx val="1"/>
          <c:order val="1"/>
          <c:tx>
            <c:strRef>
              <c:f>'Marital Status'!$F$3</c:f>
              <c:strCache>
                <c:ptCount val="1"/>
                <c:pt idx="0">
                  <c:v>Attrition</c:v>
                </c:pt>
              </c:strCache>
            </c:strRef>
          </c:tx>
          <c:spPr>
            <a:solidFill>
              <a:schemeClr val="accent2"/>
            </a:solidFill>
            <a:ln>
              <a:noFill/>
            </a:ln>
            <a:effectLst/>
          </c:spPr>
          <c:cat>
            <c:strRef>
              <c:f>'Marital Status'!$D$4:$D$6</c:f>
              <c:strCache>
                <c:ptCount val="3"/>
                <c:pt idx="0">
                  <c:v>Divorced</c:v>
                </c:pt>
                <c:pt idx="1">
                  <c:v>Married</c:v>
                </c:pt>
                <c:pt idx="2">
                  <c:v>Single</c:v>
                </c:pt>
              </c:strCache>
            </c:strRef>
          </c:cat>
          <c:val>
            <c:numRef>
              <c:f>'Marital Status'!$F$4:$F$6</c:f>
              <c:numCache>
                <c:formatCode>General</c:formatCode>
                <c:ptCount val="3"/>
                <c:pt idx="0">
                  <c:v>327</c:v>
                </c:pt>
                <c:pt idx="1">
                  <c:v>673</c:v>
                </c:pt>
                <c:pt idx="2">
                  <c:v>470</c:v>
                </c:pt>
              </c:numCache>
            </c:numRef>
          </c:val>
          <c:extLst>
            <c:ext xmlns:c16="http://schemas.microsoft.com/office/drawing/2014/chart" uri="{C3380CC4-5D6E-409C-BE32-E72D297353CC}">
              <c16:uniqueId val="{00000001-6886-42D9-8326-7E374FE69B1D}"/>
            </c:ext>
          </c:extLst>
        </c:ser>
        <c:dLbls>
          <c:showLegendKey val="0"/>
          <c:showVal val="0"/>
          <c:showCatName val="0"/>
          <c:showSerName val="0"/>
          <c:showPercent val="0"/>
          <c:showBubbleSize val="0"/>
        </c:dLbls>
        <c:axId val="358933936"/>
        <c:axId val="358950736"/>
      </c:areaChart>
      <c:catAx>
        <c:axId val="358933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50736"/>
        <c:crosses val="autoZero"/>
        <c:auto val="1"/>
        <c:lblAlgn val="ctr"/>
        <c:lblOffset val="100"/>
        <c:noMultiLvlLbl val="0"/>
      </c:catAx>
      <c:valAx>
        <c:axId val="358950736"/>
        <c:scaling>
          <c:orientation val="minMax"/>
        </c:scaling>
        <c:delete val="1"/>
        <c:axPos val="l"/>
        <c:numFmt formatCode="General" sourceLinked="1"/>
        <c:majorTickMark val="none"/>
        <c:minorTickMark val="none"/>
        <c:tickLblPos val="nextTo"/>
        <c:crossAx val="3589339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5121745903829E-2"/>
          <c:y val="0.10013343650798488"/>
          <c:w val="0.65494032637036792"/>
          <c:h val="0.76431218671222079"/>
        </c:manualLayout>
      </c:layout>
      <c:doughnutChart>
        <c:varyColors val="1"/>
        <c:ser>
          <c:idx val="0"/>
          <c:order val="0"/>
          <c:dPt>
            <c:idx val="0"/>
            <c:bubble3D val="0"/>
            <c:spPr>
              <a:gradFill>
                <a:gsLst>
                  <a:gs pos="8000">
                    <a:srgbClr val="CCFF33"/>
                  </a:gs>
                  <a:gs pos="100000">
                    <a:srgbClr val="00B050"/>
                  </a:gs>
                </a:gsLst>
                <a:lin ang="5400000" scaled="1"/>
              </a:gradFill>
              <a:ln w="19050">
                <a:gradFill>
                  <a:gsLst>
                    <a:gs pos="25000">
                      <a:srgbClr val="FFFF00"/>
                    </a:gs>
                    <a:gs pos="100000">
                      <a:srgbClr val="00B050"/>
                    </a:gs>
                  </a:gsLst>
                  <a:lin ang="5400000" scaled="1"/>
                </a:gradFill>
              </a:ln>
              <a:effectLst/>
            </c:spPr>
            <c:extLst>
              <c:ext xmlns:c16="http://schemas.microsoft.com/office/drawing/2014/chart" uri="{C3380CC4-5D6E-409C-BE32-E72D297353CC}">
                <c16:uniqueId val="{00000001-A951-49DD-969F-C2A668A26769}"/>
              </c:ext>
            </c:extLst>
          </c:dPt>
          <c:dPt>
            <c:idx val="1"/>
            <c:bubble3D val="0"/>
            <c:spPr>
              <a:solidFill>
                <a:schemeClr val="bg1">
                  <a:alpha val="92000"/>
                </a:schemeClr>
              </a:solidFill>
              <a:ln w="19050">
                <a:solidFill>
                  <a:schemeClr val="lt1"/>
                </a:solidFill>
              </a:ln>
              <a:effectLst/>
            </c:spPr>
            <c:extLst>
              <c:ext xmlns:c16="http://schemas.microsoft.com/office/drawing/2014/chart" uri="{C3380CC4-5D6E-409C-BE32-E72D297353CC}">
                <c16:uniqueId val="{00000003-A951-49DD-969F-C2A668A26769}"/>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A951-49DD-969F-C2A668A26769}"/>
            </c:ext>
          </c:extLst>
        </c:ser>
        <c:dLbls>
          <c:showLegendKey val="0"/>
          <c:showVal val="0"/>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8208-4CAE-B7B6-CDEFA9C739B4}"/>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8208-4CAE-B7B6-CDEFA9C739B4}"/>
            </c:ext>
          </c:extLst>
        </c:ser>
        <c:dLbls>
          <c:showLegendKey val="0"/>
          <c:showVal val="0"/>
          <c:showCatName val="0"/>
          <c:showSerName val="0"/>
          <c:showPercent val="0"/>
          <c:showBubbleSize val="0"/>
        </c:dLbls>
        <c:gapWidth val="0"/>
        <c:overlap val="100"/>
        <c:axId val="2054470800"/>
        <c:axId val="2054471280"/>
      </c:barChart>
      <c:catAx>
        <c:axId val="2054470800"/>
        <c:scaling>
          <c:orientation val="minMax"/>
        </c:scaling>
        <c:delete val="1"/>
        <c:axPos val="l"/>
        <c:majorTickMark val="out"/>
        <c:minorTickMark val="none"/>
        <c:tickLblPos val="nextTo"/>
        <c:crossAx val="2054471280"/>
        <c:crosses val="autoZero"/>
        <c:auto val="1"/>
        <c:lblAlgn val="ctr"/>
        <c:lblOffset val="100"/>
        <c:noMultiLvlLbl val="0"/>
      </c:catAx>
      <c:valAx>
        <c:axId val="2054471280"/>
        <c:scaling>
          <c:orientation val="minMax"/>
          <c:max val="4"/>
        </c:scaling>
        <c:delete val="1"/>
        <c:axPos val="b"/>
        <c:numFmt formatCode="0.0" sourceLinked="1"/>
        <c:majorTickMark val="out"/>
        <c:minorTickMark val="none"/>
        <c:tickLblPos val="nextTo"/>
        <c:crossAx val="205447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76388099578569"/>
          <c:y val="0.13298414709464795"/>
          <c:w val="0.68273934311670159"/>
          <c:h val="0.81620718462823727"/>
        </c:manualLayout>
      </c:layout>
      <c:doughnutChart>
        <c:varyColors val="1"/>
        <c:ser>
          <c:idx val="0"/>
          <c:order val="0"/>
          <c:spPr>
            <a:gradFill>
              <a:gsLst>
                <a:gs pos="10000">
                  <a:srgbClr val="FF7C80"/>
                </a:gs>
                <a:gs pos="100000">
                  <a:srgbClr val="FF0066"/>
                </a:gs>
              </a:gsLst>
              <a:lin ang="5400000" scaled="1"/>
            </a:gradFill>
          </c:spPr>
          <c:dPt>
            <c:idx val="0"/>
            <c:bubble3D val="0"/>
            <c:spPr>
              <a:gradFill>
                <a:gsLst>
                  <a:gs pos="10000">
                    <a:srgbClr val="FF7C80"/>
                  </a:gs>
                  <a:gs pos="100000">
                    <a:srgbClr val="FF0066"/>
                  </a:gs>
                </a:gsLst>
                <a:lin ang="5400000" scaled="1"/>
              </a:gradFill>
              <a:ln w="19050">
                <a:solidFill>
                  <a:schemeClr val="lt1"/>
                </a:solidFill>
              </a:ln>
              <a:effectLst/>
            </c:spPr>
            <c:extLst>
              <c:ext xmlns:c16="http://schemas.microsoft.com/office/drawing/2014/chart" uri="{C3380CC4-5D6E-409C-BE32-E72D297353CC}">
                <c16:uniqueId val="{00000001-4285-4905-B834-DA0DCB30269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285-4905-B834-DA0DCB30269F}"/>
              </c:ext>
            </c:extLst>
          </c:dPt>
          <c:val>
            <c:numRef>
              <c:f>Gender!$C$9:$C$10</c:f>
              <c:numCache>
                <c:formatCode>0%</c:formatCode>
                <c:ptCount val="2"/>
                <c:pt idx="0">
                  <c:v>0.4</c:v>
                </c:pt>
                <c:pt idx="1">
                  <c:v>1</c:v>
                </c:pt>
              </c:numCache>
            </c:numRef>
          </c:val>
          <c:extLst>
            <c:ext xmlns:c16="http://schemas.microsoft.com/office/drawing/2014/chart" uri="{C3380CC4-5D6E-409C-BE32-E72D297353CC}">
              <c16:uniqueId val="{00000004-4285-4905-B834-DA0DCB30269F}"/>
            </c:ext>
          </c:extLst>
        </c:ser>
        <c:dLbls>
          <c:showLegendKey val="0"/>
          <c:showVal val="0"/>
          <c:showCatName val="0"/>
          <c:showSerName val="0"/>
          <c:showPercent val="0"/>
          <c:showBubbleSize val="0"/>
          <c:showLeaderLines val="1"/>
        </c:dLbls>
        <c:firstSliceAng val="0"/>
        <c:holeSize val="67"/>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6303284416492"/>
          <c:y val="0.10025062656641603"/>
          <c:w val="0.68273934311670159"/>
          <c:h val="0.81620718462823727"/>
        </c:manualLayout>
      </c:layout>
      <c:doughnutChart>
        <c:varyColors val="1"/>
        <c:ser>
          <c:idx val="0"/>
          <c:order val="0"/>
          <c:spPr>
            <a:solidFill>
              <a:schemeClr val="bg1">
                <a:lumMod val="85000"/>
              </a:schemeClr>
            </a:solidFill>
          </c:spPr>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DE01-45E3-9DD7-47299CAADE03}"/>
              </c:ext>
            </c:extLst>
          </c:dPt>
          <c:dPt>
            <c:idx val="1"/>
            <c:bubble3D val="0"/>
            <c:spPr>
              <a:gradFill>
                <a:gsLst>
                  <a:gs pos="10000">
                    <a:schemeClr val="accent5">
                      <a:lumMod val="40000"/>
                      <a:lumOff val="60000"/>
                    </a:schemeClr>
                  </a:gs>
                  <a:gs pos="100000">
                    <a:srgbClr val="0070C0"/>
                  </a:gs>
                </a:gsLst>
                <a:lin ang="5400000" scaled="1"/>
              </a:gradFill>
              <a:ln w="19050">
                <a:solidFill>
                  <a:schemeClr val="lt1"/>
                </a:solidFill>
              </a:ln>
              <a:effectLst/>
            </c:spPr>
            <c:extLst>
              <c:ext xmlns:c16="http://schemas.microsoft.com/office/drawing/2014/chart" uri="{C3380CC4-5D6E-409C-BE32-E72D297353CC}">
                <c16:uniqueId val="{00000003-DE01-45E3-9DD7-47299CAADE03}"/>
              </c:ext>
            </c:extLst>
          </c:dPt>
          <c:val>
            <c:numRef>
              <c:f>Gender!$C$9:$C$10</c:f>
              <c:numCache>
                <c:formatCode>0%</c:formatCode>
                <c:ptCount val="2"/>
                <c:pt idx="0">
                  <c:v>0.4</c:v>
                </c:pt>
                <c:pt idx="1">
                  <c:v>1</c:v>
                </c:pt>
              </c:numCache>
            </c:numRef>
          </c:val>
          <c:extLst>
            <c:ext xmlns:c16="http://schemas.microsoft.com/office/drawing/2014/chart" uri="{C3380CC4-5D6E-409C-BE32-E72D297353CC}">
              <c16:uniqueId val="{00000004-DE01-45E3-9DD7-47299CAADE03}"/>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Dashboard_Excel.xlsx]EducationByAttrition!EducationByAttrition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000">
                <a:schemeClr val="accent5">
                  <a:lumMod val="40000"/>
                  <a:lumOff val="60000"/>
                </a:schemeClr>
              </a:gs>
              <a:gs pos="100000">
                <a:srgbClr val="0070C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17891513560806"/>
          <c:y val="4.1666666666666664E-2"/>
          <c:w val="0.74326552930883638"/>
          <c:h val="0.89814814814814814"/>
        </c:manualLayout>
      </c:layout>
      <c:barChart>
        <c:barDir val="bar"/>
        <c:grouping val="clustered"/>
        <c:varyColors val="0"/>
        <c:ser>
          <c:idx val="0"/>
          <c:order val="0"/>
          <c:tx>
            <c:strRef>
              <c:f>EducationByAttrition!$B$3</c:f>
              <c:strCache>
                <c:ptCount val="1"/>
                <c:pt idx="0">
                  <c:v>Total</c:v>
                </c:pt>
              </c:strCache>
            </c:strRef>
          </c:tx>
          <c:spPr>
            <a:gradFill>
              <a:gsLst>
                <a:gs pos="5000">
                  <a:schemeClr val="accent5">
                    <a:lumMod val="40000"/>
                    <a:lumOff val="60000"/>
                  </a:schemeClr>
                </a:gs>
                <a:gs pos="100000">
                  <a:srgbClr val="0070C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EducationByAttrition!$A$4:$A$9</c:f>
              <c:strCache>
                <c:ptCount val="5"/>
                <c:pt idx="0">
                  <c:v>Bachelor's Degree</c:v>
                </c:pt>
                <c:pt idx="1">
                  <c:v>Master's Degree</c:v>
                </c:pt>
                <c:pt idx="2">
                  <c:v>Associates Degree</c:v>
                </c:pt>
                <c:pt idx="3">
                  <c:v>High School</c:v>
                </c:pt>
                <c:pt idx="4">
                  <c:v>Doctoral Degree</c:v>
                </c:pt>
              </c:strCache>
            </c:strRef>
          </c:cat>
          <c:val>
            <c:numRef>
              <c:f>EducationByAttrition!$B$4:$B$9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1E7E-4FB9-96E6-B266EE6605CC}"/>
            </c:ext>
          </c:extLst>
        </c:ser>
        <c:dLbls>
          <c:dLblPos val="outEnd"/>
          <c:showLegendKey val="0"/>
          <c:showVal val="1"/>
          <c:showCatName val="0"/>
          <c:showSerName val="0"/>
          <c:showPercent val="0"/>
          <c:showBubbleSize val="0"/>
        </c:dLbls>
        <c:gapWidth val="78"/>
        <c:axId val="2134705696"/>
        <c:axId val="2134694176"/>
      </c:barChart>
      <c:catAx>
        <c:axId val="2134705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4694176"/>
        <c:crosses val="autoZero"/>
        <c:auto val="1"/>
        <c:lblAlgn val="ctr"/>
        <c:lblOffset val="100"/>
        <c:noMultiLvlLbl val="0"/>
      </c:catAx>
      <c:valAx>
        <c:axId val="2134694176"/>
        <c:scaling>
          <c:orientation val="minMax"/>
        </c:scaling>
        <c:delete val="1"/>
        <c:axPos val="b"/>
        <c:numFmt formatCode="General" sourceLinked="1"/>
        <c:majorTickMark val="out"/>
        <c:minorTickMark val="none"/>
        <c:tickLblPos val="nextTo"/>
        <c:crossAx val="213470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Dashboard_Excel.xlsx]Department wise Attrition!Department Wise Attrition</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w="19050">
            <a:solidFill>
              <a:schemeClr val="lt1"/>
            </a:solidFill>
          </a:ln>
          <a:effectLst/>
        </c:spPr>
      </c:pivotFmt>
      <c:pivotFmt>
        <c:idx val="7"/>
        <c:spPr>
          <a:gradFill>
            <a:gsLst>
              <a:gs pos="5000">
                <a:schemeClr val="accent5">
                  <a:lumMod val="40000"/>
                  <a:lumOff val="60000"/>
                </a:schemeClr>
              </a:gs>
              <a:gs pos="100000">
                <a:srgbClr val="7030A0"/>
              </a:gs>
            </a:gsLst>
            <a:lin ang="5400000" scaled="1"/>
          </a:gradFill>
          <a:ln w="19050">
            <a:solidFill>
              <a:schemeClr val="lt1"/>
            </a:solidFill>
          </a:ln>
          <a:effectLst/>
        </c:spPr>
      </c:pivotFmt>
      <c:pivotFmt>
        <c:idx val="8"/>
        <c:spPr>
          <a:gradFill>
            <a:gsLst>
              <a:gs pos="5000">
                <a:schemeClr val="accent5">
                  <a:lumMod val="40000"/>
                  <a:lumOff val="60000"/>
                </a:schemeClr>
              </a:gs>
              <a:gs pos="100000">
                <a:schemeClr val="accent5"/>
              </a:gs>
            </a:gsLst>
            <a:lin ang="5400000" scaled="1"/>
          </a:gra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spPr>
            <a:solidFill>
              <a:schemeClr val="accent2">
                <a:lumMod val="75000"/>
              </a:schemeClr>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872-4006-B3E1-0C30EA978FEC}"/>
              </c:ext>
            </c:extLst>
          </c:dPt>
          <c:dPt>
            <c:idx val="1"/>
            <c:bubble3D val="0"/>
            <c:spPr>
              <a:gradFill>
                <a:gsLst>
                  <a:gs pos="5000">
                    <a:schemeClr val="accent5">
                      <a:lumMod val="40000"/>
                      <a:lumOff val="60000"/>
                    </a:schemeClr>
                  </a:gs>
                  <a:gs pos="100000">
                    <a:srgbClr val="7030A0"/>
                  </a:gs>
                </a:gsLst>
                <a:lin ang="5400000" scaled="1"/>
              </a:gradFill>
              <a:ln w="19050">
                <a:solidFill>
                  <a:schemeClr val="lt1"/>
                </a:solidFill>
              </a:ln>
              <a:effectLst/>
            </c:spPr>
            <c:extLst>
              <c:ext xmlns:c16="http://schemas.microsoft.com/office/drawing/2014/chart" uri="{C3380CC4-5D6E-409C-BE32-E72D297353CC}">
                <c16:uniqueId val="{00000003-4872-4006-B3E1-0C30EA978FEC}"/>
              </c:ext>
            </c:extLst>
          </c:dPt>
          <c:dPt>
            <c:idx val="2"/>
            <c:bubble3D val="0"/>
            <c:spPr>
              <a:gradFill>
                <a:gsLst>
                  <a:gs pos="5000">
                    <a:schemeClr val="accent5">
                      <a:lumMod val="40000"/>
                      <a:lumOff val="60000"/>
                    </a:schemeClr>
                  </a:gs>
                  <a:gs pos="100000">
                    <a:schemeClr val="accent5"/>
                  </a:gs>
                </a:gsLst>
                <a:lin ang="5400000" scaled="1"/>
              </a:gradFill>
              <a:ln w="19050">
                <a:solidFill>
                  <a:schemeClr val="lt1"/>
                </a:solidFill>
              </a:ln>
              <a:effectLst/>
            </c:spPr>
            <c:extLst>
              <c:ext xmlns:c16="http://schemas.microsoft.com/office/drawing/2014/chart" uri="{C3380CC4-5D6E-409C-BE32-E72D297353CC}">
                <c16:uniqueId val="{00000005-4872-4006-B3E1-0C30EA978FE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872-4006-B3E1-0C30EA978FE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3055822282926572"/>
          <c:y val="0.34680387394200712"/>
          <c:w val="0.15003879323625219"/>
          <c:h val="0.4395388745210111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Dashboard_Excel.xlsx]ATTRITION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100000">
                <a:schemeClr val="accent1">
                  <a:lumMod val="30000"/>
                  <a:lumOff val="70000"/>
                </a:schemeClr>
              </a:gs>
            </a:gsLst>
            <a:lin ang="5400000" scaled="1"/>
          </a:gradFill>
          <a:ln>
            <a:gradFill>
              <a:gsLst>
                <a:gs pos="43400">
                  <a:srgbClr val="00B050"/>
                </a:gs>
                <a:gs pos="0">
                  <a:srgbClr val="92D050"/>
                </a:gs>
                <a:gs pos="100000">
                  <a:schemeClr val="accent6">
                    <a:lumMod val="75000"/>
                  </a:schemeClr>
                </a:gs>
              </a:gsLst>
              <a:lin ang="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0B050"/>
              </a:gs>
              <a:gs pos="100000">
                <a:schemeClr val="accent1">
                  <a:lumMod val="30000"/>
                  <a:lumOff val="70000"/>
                </a:schemeClr>
              </a:gs>
            </a:gsLst>
            <a:lin ang="5400000" scaled="1"/>
          </a:gradFill>
          <a:ln>
            <a:gradFill>
              <a:gsLst>
                <a:gs pos="43400">
                  <a:srgbClr val="00B050"/>
                </a:gs>
                <a:gs pos="0">
                  <a:srgbClr val="92D050"/>
                </a:gs>
                <a:gs pos="100000">
                  <a:schemeClr val="accent6">
                    <a:lumMod val="75000"/>
                  </a:schemeClr>
                </a:gs>
              </a:gsLst>
              <a:lin ang="0" scaled="0"/>
            </a:gradFill>
          </a:ln>
          <a:effectLst/>
        </c:spPr>
      </c:pivotFmt>
    </c:pivotFmts>
    <c:plotArea>
      <c:layout>
        <c:manualLayout>
          <c:layoutTarget val="inner"/>
          <c:xMode val="edge"/>
          <c:yMode val="edge"/>
          <c:x val="3.3333333333333333E-2"/>
          <c:y val="4.6296296296296294E-2"/>
          <c:w val="0.93888888888888888"/>
          <c:h val="0.8416746864975212"/>
        </c:manualLayout>
      </c:layout>
      <c:barChart>
        <c:barDir val="col"/>
        <c:grouping val="clustered"/>
        <c:varyColors val="0"/>
        <c:ser>
          <c:idx val="0"/>
          <c:order val="0"/>
          <c:tx>
            <c:strRef>
              <c:f>'ATTRITION BY AGE GROUP'!$B$3</c:f>
              <c:strCache>
                <c:ptCount val="1"/>
                <c:pt idx="0">
                  <c:v>Total</c:v>
                </c:pt>
              </c:strCache>
            </c:strRef>
          </c:tx>
          <c:spPr>
            <a:gradFill>
              <a:gsLst>
                <a:gs pos="0">
                  <a:srgbClr val="00B050"/>
                </a:gs>
                <a:gs pos="100000">
                  <a:schemeClr val="accent1">
                    <a:lumMod val="30000"/>
                    <a:lumOff val="70000"/>
                  </a:schemeClr>
                </a:gs>
              </a:gsLst>
              <a:lin ang="5400000" scaled="1"/>
            </a:gradFill>
            <a:ln>
              <a:gradFill>
                <a:gsLst>
                  <a:gs pos="43400">
                    <a:srgbClr val="00B050"/>
                  </a:gs>
                  <a:gs pos="0">
                    <a:srgbClr val="92D050"/>
                  </a:gs>
                  <a:gs pos="100000">
                    <a:schemeClr val="accent6">
                      <a:lumMod val="75000"/>
                    </a:schemeClr>
                  </a:gs>
                </a:gsLst>
                <a:lin ang="0" scaled="0"/>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187-4427-A220-D2E56ECFCF54}"/>
            </c:ext>
          </c:extLst>
        </c:ser>
        <c:dLbls>
          <c:dLblPos val="outEnd"/>
          <c:showLegendKey val="0"/>
          <c:showVal val="1"/>
          <c:showCatName val="0"/>
          <c:showSerName val="0"/>
          <c:showPercent val="0"/>
          <c:showBubbleSize val="0"/>
        </c:dLbls>
        <c:gapWidth val="126"/>
        <c:axId val="358901776"/>
        <c:axId val="358903216"/>
      </c:barChart>
      <c:catAx>
        <c:axId val="35890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358903216"/>
        <c:crosses val="autoZero"/>
        <c:auto val="1"/>
        <c:lblAlgn val="ctr"/>
        <c:lblOffset val="100"/>
        <c:noMultiLvlLbl val="0"/>
      </c:catAx>
      <c:valAx>
        <c:axId val="358903216"/>
        <c:scaling>
          <c:orientation val="minMax"/>
        </c:scaling>
        <c:delete val="1"/>
        <c:axPos val="l"/>
        <c:numFmt formatCode="General" sourceLinked="1"/>
        <c:majorTickMark val="none"/>
        <c:minorTickMark val="none"/>
        <c:tickLblPos val="nextTo"/>
        <c:crossAx val="35890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'Marital Status'!$E$3</c:f>
              <c:strCache>
                <c:ptCount val="1"/>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Status'!$D$4:$D$6</c:f>
              <c:strCache>
                <c:ptCount val="3"/>
                <c:pt idx="0">
                  <c:v>Divorced</c:v>
                </c:pt>
                <c:pt idx="1">
                  <c:v>Married</c:v>
                </c:pt>
                <c:pt idx="2">
                  <c:v>Single</c:v>
                </c:pt>
              </c:strCache>
            </c:strRef>
          </c:cat>
          <c:val>
            <c:numRef>
              <c:f>'Marital Status'!$E$4:$E$6</c:f>
              <c:numCache>
                <c:formatCode>General</c:formatCode>
                <c:ptCount val="3"/>
              </c:numCache>
            </c:numRef>
          </c:val>
          <c:extLst>
            <c:ext xmlns:c16="http://schemas.microsoft.com/office/drawing/2014/chart" uri="{C3380CC4-5D6E-409C-BE32-E72D297353CC}">
              <c16:uniqueId val="{00000000-C399-4C7E-B824-4C54209FA6A4}"/>
            </c:ext>
          </c:extLst>
        </c:ser>
        <c:ser>
          <c:idx val="1"/>
          <c:order val="1"/>
          <c:tx>
            <c:strRef>
              <c:f>'Marital Status'!$F$3</c:f>
              <c:strCache>
                <c:ptCount val="1"/>
                <c:pt idx="0">
                  <c:v>Attrition</c:v>
                </c:pt>
              </c:strCache>
            </c:strRef>
          </c:tx>
          <c:spPr>
            <a:solidFill>
              <a:schemeClr val="accent2">
                <a:lumMod val="60000"/>
                <a:lumOff val="40000"/>
              </a:schemeClr>
            </a:solidFill>
            <a:ln>
              <a:solidFill>
                <a:schemeClr val="accent2">
                  <a:lumMod val="60000"/>
                  <a:lumOff val="40000"/>
                </a:schemeClr>
              </a:solidFill>
            </a:ln>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Status'!$D$4:$D$6</c:f>
              <c:strCache>
                <c:ptCount val="3"/>
                <c:pt idx="0">
                  <c:v>Divorced</c:v>
                </c:pt>
                <c:pt idx="1">
                  <c:v>Married</c:v>
                </c:pt>
                <c:pt idx="2">
                  <c:v>Single</c:v>
                </c:pt>
              </c:strCache>
            </c:strRef>
          </c:cat>
          <c:val>
            <c:numRef>
              <c:f>'Marital Status'!$F$4:$F$6</c:f>
              <c:numCache>
                <c:formatCode>General</c:formatCode>
                <c:ptCount val="3"/>
                <c:pt idx="0">
                  <c:v>327</c:v>
                </c:pt>
                <c:pt idx="1">
                  <c:v>673</c:v>
                </c:pt>
                <c:pt idx="2">
                  <c:v>470</c:v>
                </c:pt>
              </c:numCache>
            </c:numRef>
          </c:val>
          <c:extLst>
            <c:ext xmlns:c16="http://schemas.microsoft.com/office/drawing/2014/chart" uri="{C3380CC4-5D6E-409C-BE32-E72D297353CC}">
              <c16:uniqueId val="{00000001-C399-4C7E-B824-4C54209FA6A4}"/>
            </c:ext>
          </c:extLst>
        </c:ser>
        <c:dLbls>
          <c:showLegendKey val="0"/>
          <c:showVal val="1"/>
          <c:showCatName val="0"/>
          <c:showSerName val="0"/>
          <c:showPercent val="0"/>
          <c:showBubbleSize val="0"/>
        </c:dLbls>
        <c:axId val="358933936"/>
        <c:axId val="358950736"/>
      </c:areaChart>
      <c:catAx>
        <c:axId val="358933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58950736"/>
        <c:crosses val="autoZero"/>
        <c:auto val="1"/>
        <c:lblAlgn val="ctr"/>
        <c:lblOffset val="100"/>
        <c:noMultiLvlLbl val="0"/>
      </c:catAx>
      <c:valAx>
        <c:axId val="358950736"/>
        <c:scaling>
          <c:orientation val="minMax"/>
        </c:scaling>
        <c:delete val="1"/>
        <c:axPos val="l"/>
        <c:numFmt formatCode="General" sourceLinked="1"/>
        <c:majorTickMark val="none"/>
        <c:minorTickMark val="none"/>
        <c:tickLblPos val="nextTo"/>
        <c:crossAx val="3589339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FE844F8A-6448-4ABB-AACB-C28643427EC2}">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FE844F8A-6448-4ABB-AACB-C28643427EC2}">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9.svg"/><Relationship Id="rId18"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2.xml"/><Relationship Id="rId2" Type="http://schemas.openxmlformats.org/officeDocument/2006/relationships/image" Target="../media/image2.png"/><Relationship Id="rId16" Type="http://schemas.openxmlformats.org/officeDocument/2006/relationships/chart" Target="../charts/chart13.xml"/><Relationship Id="rId20"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11.xml"/><Relationship Id="rId19"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10</xdr:col>
      <xdr:colOff>472440</xdr:colOff>
      <xdr:row>2</xdr:row>
      <xdr:rowOff>114301</xdr:rowOff>
    </xdr:from>
    <xdr:to>
      <xdr:col>13</xdr:col>
      <xdr:colOff>297180</xdr:colOff>
      <xdr:row>8</xdr:row>
      <xdr:rowOff>121921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5262C466-3B50-6490-855A-1B20E61B798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51520" y="510541"/>
              <a:ext cx="183642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163830</xdr:colOff>
      <xdr:row>0</xdr:row>
      <xdr:rowOff>133350</xdr:rowOff>
    </xdr:from>
    <xdr:to>
      <xdr:col>4</xdr:col>
      <xdr:colOff>426720</xdr:colOff>
      <xdr:row>4</xdr:row>
      <xdr:rowOff>106680</xdr:rowOff>
    </xdr:to>
    <xdr:graphicFrame macro="">
      <xdr:nvGraphicFramePr>
        <xdr:cNvPr id="5" name="Chart 4">
          <a:extLst>
            <a:ext uri="{FF2B5EF4-FFF2-40B4-BE49-F238E27FC236}">
              <a16:creationId xmlns:a16="http://schemas.microsoft.com/office/drawing/2014/main" id="{986CB030-0A2E-60E0-988B-F3EC05AB8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26670</xdr:colOff>
      <xdr:row>9</xdr:row>
      <xdr:rowOff>64770</xdr:rowOff>
    </xdr:from>
    <xdr:to>
      <xdr:col>11</xdr:col>
      <xdr:colOff>266700</xdr:colOff>
      <xdr:row>14</xdr:row>
      <xdr:rowOff>160020</xdr:rowOff>
    </xdr:to>
    <xdr:graphicFrame macro="">
      <xdr:nvGraphicFramePr>
        <xdr:cNvPr id="6" name="Chart 5">
          <a:extLst>
            <a:ext uri="{FF2B5EF4-FFF2-40B4-BE49-F238E27FC236}">
              <a16:creationId xmlns:a16="http://schemas.microsoft.com/office/drawing/2014/main" id="{DBB3B928-A9CC-91C5-58F9-6B385CF81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106680</xdr:colOff>
      <xdr:row>6</xdr:row>
      <xdr:rowOff>91440</xdr:rowOff>
    </xdr:from>
    <xdr:to>
      <xdr:col>7</xdr:col>
      <xdr:colOff>594360</xdr:colOff>
      <xdr:row>20</xdr:row>
      <xdr:rowOff>13335</xdr:rowOff>
    </xdr:to>
    <mc:AlternateContent xmlns:mc="http://schemas.openxmlformats.org/markup-compatibility/2006" xmlns:a14="http://schemas.microsoft.com/office/drawing/2010/main">
      <mc:Choice Requires="a14">
        <xdr:graphicFrame macro="">
          <xdr:nvGraphicFramePr>
            <xdr:cNvPr id="7" name="Education Field 2">
              <a:extLst>
                <a:ext uri="{FF2B5EF4-FFF2-40B4-BE49-F238E27FC236}">
                  <a16:creationId xmlns:a16="http://schemas.microsoft.com/office/drawing/2014/main" id="{6E8BC328-4664-BA15-2A16-7B61A005F39A}"/>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632960" y="1280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624840</xdr:colOff>
      <xdr:row>6</xdr:row>
      <xdr:rowOff>91440</xdr:rowOff>
    </xdr:from>
    <xdr:to>
      <xdr:col>7</xdr:col>
      <xdr:colOff>441960</xdr:colOff>
      <xdr:row>20</xdr:row>
      <xdr:rowOff>13335</xdr:rowOff>
    </xdr:to>
    <mc:AlternateContent xmlns:mc="http://schemas.openxmlformats.org/markup-compatibility/2006" xmlns:a14="http://schemas.microsoft.com/office/drawing/2010/main">
      <mc:Choice Requires="a14">
        <xdr:graphicFrame macro="">
          <xdr:nvGraphicFramePr>
            <xdr:cNvPr id="2" name="Education Field 4">
              <a:extLst>
                <a:ext uri="{FF2B5EF4-FFF2-40B4-BE49-F238E27FC236}">
                  <a16:creationId xmlns:a16="http://schemas.microsoft.com/office/drawing/2014/main" id="{D0E06F08-7B70-DCDA-A6ED-E58E060C7535}"/>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4632960" y="1280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640080</xdr:colOff>
      <xdr:row>6</xdr:row>
      <xdr:rowOff>38100</xdr:rowOff>
    </xdr:from>
    <xdr:to>
      <xdr:col>10</xdr:col>
      <xdr:colOff>457200</xdr:colOff>
      <xdr:row>19</xdr:row>
      <xdr:rowOff>158115</xdr:rowOff>
    </xdr:to>
    <mc:AlternateContent xmlns:mc="http://schemas.openxmlformats.org/markup-compatibility/2006" xmlns:a14="http://schemas.microsoft.com/office/drawing/2010/main">
      <mc:Choice Requires="a14">
        <xdr:graphicFrame macro="">
          <xdr:nvGraphicFramePr>
            <xdr:cNvPr id="3" name="Gender 3">
              <a:extLst>
                <a:ext uri="{FF2B5EF4-FFF2-40B4-BE49-F238E27FC236}">
                  <a16:creationId xmlns:a16="http://schemas.microsoft.com/office/drawing/2014/main" id="{EF0E84F9-C1A8-92BA-D786-F7F9C6B98510}"/>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6659880" y="12268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643890</xdr:colOff>
      <xdr:row>5</xdr:row>
      <xdr:rowOff>118110</xdr:rowOff>
    </xdr:from>
    <xdr:to>
      <xdr:col>13</xdr:col>
      <xdr:colOff>449580</xdr:colOff>
      <xdr:row>13</xdr:row>
      <xdr:rowOff>53340</xdr:rowOff>
    </xdr:to>
    <xdr:graphicFrame macro="">
      <xdr:nvGraphicFramePr>
        <xdr:cNvPr id="6" name="Chart 5">
          <a:extLst>
            <a:ext uri="{FF2B5EF4-FFF2-40B4-BE49-F238E27FC236}">
              <a16:creationId xmlns:a16="http://schemas.microsoft.com/office/drawing/2014/main" id="{551A0DFF-3AF8-C678-C468-61E5F883E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377190</xdr:colOff>
      <xdr:row>14</xdr:row>
      <xdr:rowOff>95250</xdr:rowOff>
    </xdr:from>
    <xdr:to>
      <xdr:col>13</xdr:col>
      <xdr:colOff>350520</xdr:colOff>
      <xdr:row>22</xdr:row>
      <xdr:rowOff>83820</xdr:rowOff>
    </xdr:to>
    <xdr:graphicFrame macro="">
      <xdr:nvGraphicFramePr>
        <xdr:cNvPr id="7" name="Chart 6">
          <a:extLst>
            <a:ext uri="{FF2B5EF4-FFF2-40B4-BE49-F238E27FC236}">
              <a16:creationId xmlns:a16="http://schemas.microsoft.com/office/drawing/2014/main" id="{892952FC-C8DC-C412-374D-AFE781E21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1710690</xdr:colOff>
      <xdr:row>5</xdr:row>
      <xdr:rowOff>144780</xdr:rowOff>
    </xdr:from>
    <xdr:to>
      <xdr:col>8</xdr:col>
      <xdr:colOff>461010</xdr:colOff>
      <xdr:row>19</xdr:row>
      <xdr:rowOff>114300</xdr:rowOff>
    </xdr:to>
    <xdr:graphicFrame macro="">
      <xdr:nvGraphicFramePr>
        <xdr:cNvPr id="2" name="Chart 1">
          <a:extLst>
            <a:ext uri="{FF2B5EF4-FFF2-40B4-BE49-F238E27FC236}">
              <a16:creationId xmlns:a16="http://schemas.microsoft.com/office/drawing/2014/main" id="{C2E2A310-7D9C-46E6-77DB-4187FDFE3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598170</xdr:colOff>
      <xdr:row>9</xdr:row>
      <xdr:rowOff>171450</xdr:rowOff>
    </xdr:from>
    <xdr:to>
      <xdr:col>12</xdr:col>
      <xdr:colOff>563880</xdr:colOff>
      <xdr:row>22</xdr:row>
      <xdr:rowOff>129540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5AA529F-2692-0DC2-4399-6113DD7ED1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93230" y="1954530"/>
              <a:ext cx="3989070" cy="2533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262890</xdr:colOff>
      <xdr:row>5</xdr:row>
      <xdr:rowOff>140970</xdr:rowOff>
    </xdr:from>
    <xdr:to>
      <xdr:col>9</xdr:col>
      <xdr:colOff>140970</xdr:colOff>
      <xdr:row>19</xdr:row>
      <xdr:rowOff>110490</xdr:rowOff>
    </xdr:to>
    <xdr:graphicFrame macro="">
      <xdr:nvGraphicFramePr>
        <xdr:cNvPr id="2" name="Chart 1">
          <a:extLst>
            <a:ext uri="{FF2B5EF4-FFF2-40B4-BE49-F238E27FC236}">
              <a16:creationId xmlns:a16="http://schemas.microsoft.com/office/drawing/2014/main" id="{BF87D929-B6EF-0497-C42D-A15DC7E31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201930</xdr:colOff>
      <xdr:row>5</xdr:row>
      <xdr:rowOff>140970</xdr:rowOff>
    </xdr:from>
    <xdr:to>
      <xdr:col>9</xdr:col>
      <xdr:colOff>80010</xdr:colOff>
      <xdr:row>19</xdr:row>
      <xdr:rowOff>110490</xdr:rowOff>
    </xdr:to>
    <xdr:graphicFrame macro="">
      <xdr:nvGraphicFramePr>
        <xdr:cNvPr id="2" name="Chart 1">
          <a:extLst>
            <a:ext uri="{FF2B5EF4-FFF2-40B4-BE49-F238E27FC236}">
              <a16:creationId xmlns:a16="http://schemas.microsoft.com/office/drawing/2014/main" id="{8FB3B516-CADA-34E5-4863-745548A18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373380</xdr:colOff>
      <xdr:row>6</xdr:row>
      <xdr:rowOff>91440</xdr:rowOff>
    </xdr:from>
    <xdr:to>
      <xdr:col>7</xdr:col>
      <xdr:colOff>190500</xdr:colOff>
      <xdr:row>20</xdr:row>
      <xdr:rowOff>13335</xdr:rowOff>
    </xdr:to>
    <mc:AlternateContent xmlns:mc="http://schemas.openxmlformats.org/markup-compatibility/2006" xmlns:a14="http://schemas.microsoft.com/office/drawing/2010/main">
      <mc:Choice Requires="a14">
        <xdr:graphicFrame macro="">
          <xdr:nvGraphicFramePr>
            <xdr:cNvPr id="3" name="Education Field 5">
              <a:extLst>
                <a:ext uri="{FF2B5EF4-FFF2-40B4-BE49-F238E27FC236}">
                  <a16:creationId xmlns:a16="http://schemas.microsoft.com/office/drawing/2014/main" id="{A2A69676-E29E-EF88-9A33-A24D81FA082A}"/>
                </a:ext>
              </a:extLst>
            </xdr:cNvPr>
            <xdr:cNvGraphicFramePr/>
          </xdr:nvGraphicFramePr>
          <xdr:xfrm>
            <a:off x="0" y="0"/>
            <a:ext cx="0" cy="0"/>
          </xdr:xfrm>
          <a:graphic>
            <a:graphicData uri="http://schemas.microsoft.com/office/drawing/2010/slicer">
              <sle:slicer xmlns:sle="http://schemas.microsoft.com/office/drawing/2010/slicer" name="Education Field 5"/>
            </a:graphicData>
          </a:graphic>
        </xdr:graphicFrame>
      </mc:Choice>
      <mc:Fallback xmlns="">
        <xdr:sp macro="" textlink="">
          <xdr:nvSpPr>
            <xdr:cNvPr id="0" name=""/>
            <xdr:cNvSpPr>
              <a:spLocks noTextEdit="1"/>
            </xdr:cNvSpPr>
          </xdr:nvSpPr>
          <xdr:spPr>
            <a:xfrm>
              <a:off x="4442460" y="1280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586740</xdr:colOff>
      <xdr:row>6</xdr:row>
      <xdr:rowOff>68580</xdr:rowOff>
    </xdr:from>
    <xdr:to>
      <xdr:col>10</xdr:col>
      <xdr:colOff>403860</xdr:colOff>
      <xdr:row>19</xdr:row>
      <xdr:rowOff>188595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BDAE3C7A-758A-027C-B430-F0B5D4B486E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667500" y="12573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422910</xdr:colOff>
      <xdr:row>5</xdr:row>
      <xdr:rowOff>140970</xdr:rowOff>
    </xdr:from>
    <xdr:to>
      <xdr:col>9</xdr:col>
      <xdr:colOff>419100</xdr:colOff>
      <xdr:row>18</xdr:row>
      <xdr:rowOff>175260</xdr:rowOff>
    </xdr:to>
    <xdr:graphicFrame macro="">
      <xdr:nvGraphicFramePr>
        <xdr:cNvPr id="3" name="Chart 2">
          <a:extLst>
            <a:ext uri="{FF2B5EF4-FFF2-40B4-BE49-F238E27FC236}">
              <a16:creationId xmlns:a16="http://schemas.microsoft.com/office/drawing/2014/main" id="{AF47400F-8743-9F7F-2370-05E412917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472440</xdr:colOff>
      <xdr:row>0</xdr:row>
      <xdr:rowOff>7620</xdr:rowOff>
    </xdr:from>
    <xdr:to>
      <xdr:col>8</xdr:col>
      <xdr:colOff>289560</xdr:colOff>
      <xdr:row>13</xdr:row>
      <xdr:rowOff>127635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8DBDC5AF-56FC-02F6-FFE1-B46A0BA9240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41920" y="76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6</xdr:row>
      <xdr:rowOff>91441</xdr:rowOff>
    </xdr:from>
    <xdr:to>
      <xdr:col>4</xdr:col>
      <xdr:colOff>304800</xdr:colOff>
      <xdr:row>19</xdr:row>
      <xdr:rowOff>137161</xdr:rowOff>
    </xdr:to>
    <mc:AlternateContent xmlns:mc="http://schemas.openxmlformats.org/markup-compatibility/2006" xmlns:a14="http://schemas.microsoft.com/office/drawing/2010/main">
      <mc:Choice Requires="a14">
        <xdr:graphicFrame macro="">
          <xdr:nvGraphicFramePr>
            <xdr:cNvPr id="3" name="Education Field">
              <a:extLst>
                <a:ext uri="{FF2B5EF4-FFF2-40B4-BE49-F238E27FC236}">
                  <a16:creationId xmlns:a16="http://schemas.microsoft.com/office/drawing/2014/main" id="{6CEC29C5-2FE8-66E5-BC7F-594A5507780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632960" y="1280161"/>
              <a:ext cx="1729740" cy="2621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6</xdr:col>
      <xdr:colOff>50507</xdr:colOff>
      <xdr:row>0</xdr:row>
      <xdr:rowOff>23446</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3989461" y="23446"/>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solidFill>
                  <a:srgbClr val="C00000"/>
                </a:solidFill>
              </a:endParaRPr>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chemeClr val="accent6">
                <a:lumMod val="75000"/>
              </a:schemeClr>
            </a:solidFill>
            <a:ln w="12700" cap="flat" cmpd="sng">
              <a:solidFill>
                <a:schemeClr val="accent6">
                  <a:lumMod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C00000"/>
                  </a:solidFill>
                  <a:latin typeface="Calibri"/>
                  <a:ea typeface="Calibri"/>
                  <a:cs typeface="Calibri"/>
                  <a:sym typeface="Calibri"/>
                </a:rPr>
                <a:t>`</a:t>
              </a:r>
              <a:endParaRPr sz="1400">
                <a:solidFill>
                  <a:srgbClr val="C00000"/>
                </a:solidFill>
              </a:endParaRPr>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905956"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C0000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92490" y="1215714"/>
              <a:ext cx="13242736" cy="998848"/>
              <a:chOff x="1892888" y="1215714"/>
              <a:chExt cx="13356637"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92888" y="1215714"/>
                <a:ext cx="2602058" cy="998848"/>
              </a:xfrm>
              <a:prstGeom prst="roundRect">
                <a:avLst>
                  <a:gd name="adj" fmla="val 7111"/>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65694" y="230395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13</xdr:col>
      <xdr:colOff>111760</xdr:colOff>
      <xdr:row>11</xdr:row>
      <xdr:rowOff>1562</xdr:rowOff>
    </xdr:from>
    <xdr:to>
      <xdr:col>20</xdr:col>
      <xdr:colOff>375920</xdr:colOff>
      <xdr:row>12</xdr:row>
      <xdr:rowOff>87532</xdr:rowOff>
    </xdr:to>
    <xdr:sp macro="" textlink="">
      <xdr:nvSpPr>
        <xdr:cNvPr id="3" name="TextBox 2">
          <a:extLst>
            <a:ext uri="{FF2B5EF4-FFF2-40B4-BE49-F238E27FC236}">
              <a16:creationId xmlns:a16="http://schemas.microsoft.com/office/drawing/2014/main" id="{29DF4A92-08D8-2A22-106D-538D7B578BF9}"/>
            </a:ext>
          </a:extLst>
        </xdr:cNvPr>
        <xdr:cNvSpPr txBox="1"/>
      </xdr:nvSpPr>
      <xdr:spPr>
        <a:xfrm>
          <a:off x="8646160" y="2064824"/>
          <a:ext cx="4859606" cy="273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2">
                  <a:lumMod val="50000"/>
                </a:schemeClr>
              </a:solidFill>
              <a:latin typeface="Times New Roman" panose="02020603050405020304" pitchFamily="18" charset="0"/>
              <a:ea typeface="+mn-ea"/>
              <a:cs typeface="Times New Roman" panose="02020603050405020304" pitchFamily="18" charset="0"/>
            </a:rPr>
            <a:t>EDUCATION</a:t>
          </a:r>
          <a:r>
            <a:rPr lang="en-IN" sz="1600"/>
            <a:t> </a:t>
          </a:r>
          <a:r>
            <a:rPr lang="en-IN" sz="1600" b="1">
              <a:solidFill>
                <a:schemeClr val="accent2">
                  <a:lumMod val="50000"/>
                </a:schemeClr>
              </a:solidFill>
              <a:latin typeface="Times New Roman" panose="02020603050405020304" pitchFamily="18" charset="0"/>
              <a:cs typeface="Times New Roman" panose="02020603050405020304" pitchFamily="18" charset="0"/>
            </a:rPr>
            <a:t>WISE</a:t>
          </a:r>
          <a:r>
            <a:rPr lang="en-IN" sz="1600"/>
            <a:t> </a:t>
          </a:r>
          <a:r>
            <a:rPr lang="en-IN" sz="1600" b="1" baseline="0">
              <a:solidFill>
                <a:schemeClr val="accent2">
                  <a:lumMod val="50000"/>
                </a:schemeClr>
              </a:solidFill>
              <a:latin typeface="Times New Roman" panose="02020603050405020304" pitchFamily="18" charset="0"/>
              <a:ea typeface="+mn-ea"/>
              <a:cs typeface="Times New Roman" panose="02020603050405020304" pitchFamily="18" charset="0"/>
            </a:rPr>
            <a:t>ATTRITION</a:t>
          </a:r>
        </a:p>
      </xdr:txBody>
    </xdr:sp>
    <xdr:clientData/>
  </xdr:twoCellAnchor>
  <xdr:twoCellAnchor>
    <xdr:from>
      <xdr:col>6</xdr:col>
      <xdr:colOff>257908</xdr:colOff>
      <xdr:row>5</xdr:row>
      <xdr:rowOff>99256</xdr:rowOff>
    </xdr:from>
    <xdr:to>
      <xdr:col>10</xdr:col>
      <xdr:colOff>268068</xdr:colOff>
      <xdr:row>7</xdr:row>
      <xdr:rowOff>33606</xdr:rowOff>
    </xdr:to>
    <xdr:sp macro="" textlink="">
      <xdr:nvSpPr>
        <xdr:cNvPr id="5" name="TextBox 4">
          <a:extLst>
            <a:ext uri="{FF2B5EF4-FFF2-40B4-BE49-F238E27FC236}">
              <a16:creationId xmlns:a16="http://schemas.microsoft.com/office/drawing/2014/main" id="{01FC1F0A-2605-0547-4332-D93800E48B16}"/>
            </a:ext>
          </a:extLst>
        </xdr:cNvPr>
        <xdr:cNvSpPr txBox="1"/>
      </xdr:nvSpPr>
      <xdr:spPr>
        <a:xfrm>
          <a:off x="4196862" y="1037102"/>
          <a:ext cx="2636129" cy="309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chemeClr val="accent2">
                  <a:lumMod val="50000"/>
                </a:schemeClr>
              </a:solidFill>
              <a:latin typeface="Times New Roman" panose="02020603050405020304" pitchFamily="18" charset="0"/>
              <a:cs typeface="Times New Roman" panose="02020603050405020304" pitchFamily="18" charset="0"/>
            </a:rPr>
            <a:t>TOTAL EMPLOYEES</a:t>
          </a:r>
        </a:p>
      </xdr:txBody>
    </xdr:sp>
    <xdr:clientData/>
  </xdr:twoCellAnchor>
  <xdr:twoCellAnchor>
    <xdr:from>
      <xdr:col>6</xdr:col>
      <xdr:colOff>256345</xdr:colOff>
      <xdr:row>7</xdr:row>
      <xdr:rowOff>82061</xdr:rowOff>
    </xdr:from>
    <xdr:to>
      <xdr:col>10</xdr:col>
      <xdr:colOff>276665</xdr:colOff>
      <xdr:row>9</xdr:row>
      <xdr:rowOff>184443</xdr:rowOff>
    </xdr:to>
    <xdr:sp macro="" textlink="KPI!A8">
      <xdr:nvSpPr>
        <xdr:cNvPr id="6" name="TextBox 5">
          <a:extLst>
            <a:ext uri="{FF2B5EF4-FFF2-40B4-BE49-F238E27FC236}">
              <a16:creationId xmlns:a16="http://schemas.microsoft.com/office/drawing/2014/main" id="{23E88D25-5808-269E-0EA2-7208F5A3F5C9}"/>
            </a:ext>
          </a:extLst>
        </xdr:cNvPr>
        <xdr:cNvSpPr txBox="1"/>
      </xdr:nvSpPr>
      <xdr:spPr>
        <a:xfrm>
          <a:off x="4195299" y="1395046"/>
          <a:ext cx="2646289" cy="477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1B35DE2-A6E1-4995-9FCF-4E2F065004AA}" type="TxLink">
            <a:rPr lang="en-US" sz="2800" b="1" i="0" u="none" strike="noStrike">
              <a:solidFill>
                <a:schemeClr val="accent1">
                  <a:lumMod val="50000"/>
                </a:schemeClr>
              </a:solidFill>
              <a:latin typeface="Calibri"/>
              <a:ea typeface="Calibri"/>
              <a:cs typeface="Calibri"/>
            </a:rPr>
            <a:pPr marL="0" indent="0" algn="ctr"/>
            <a:t>1470</a:t>
          </a:fld>
          <a:endParaRPr lang="en-US" sz="2800" b="1" i="0" u="none" strike="noStrike">
            <a:solidFill>
              <a:schemeClr val="accent1">
                <a:lumMod val="50000"/>
              </a:schemeClr>
            </a:solidFill>
            <a:latin typeface="Calibri"/>
            <a:ea typeface="Calibri"/>
            <a:cs typeface="Calibri"/>
          </a:endParaRPr>
        </a:p>
      </xdr:txBody>
    </xdr:sp>
    <xdr:clientData/>
  </xdr:twoCellAnchor>
  <xdr:twoCellAnchor>
    <xdr:from>
      <xdr:col>10</xdr:col>
      <xdr:colOff>480646</xdr:colOff>
      <xdr:row>5</xdr:row>
      <xdr:rowOff>129735</xdr:rowOff>
    </xdr:from>
    <xdr:to>
      <xdr:col>14</xdr:col>
      <xdr:colOff>582246</xdr:colOff>
      <xdr:row>7</xdr:row>
      <xdr:rowOff>33605</xdr:rowOff>
    </xdr:to>
    <xdr:sp macro="" textlink="">
      <xdr:nvSpPr>
        <xdr:cNvPr id="7" name="TextBox 6">
          <a:extLst>
            <a:ext uri="{FF2B5EF4-FFF2-40B4-BE49-F238E27FC236}">
              <a16:creationId xmlns:a16="http://schemas.microsoft.com/office/drawing/2014/main" id="{E0FFF219-F38E-A8FB-2E67-51614119A98A}"/>
            </a:ext>
          </a:extLst>
        </xdr:cNvPr>
        <xdr:cNvSpPr txBox="1"/>
      </xdr:nvSpPr>
      <xdr:spPr>
        <a:xfrm>
          <a:off x="7045569" y="1067581"/>
          <a:ext cx="2727569" cy="279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chemeClr val="accent2">
                  <a:lumMod val="50000"/>
                </a:schemeClr>
              </a:solidFill>
              <a:latin typeface="Times New Roman" panose="02020603050405020304" pitchFamily="18" charset="0"/>
              <a:ea typeface="+mn-ea"/>
              <a:cs typeface="Times New Roman" panose="02020603050405020304" pitchFamily="18" charset="0"/>
            </a:rPr>
            <a:t>ATTRITION</a:t>
          </a:r>
          <a:r>
            <a:rPr lang="en-IN" sz="1100"/>
            <a:t> </a:t>
          </a:r>
          <a:r>
            <a:rPr lang="en-IN" sz="1600" b="1">
              <a:solidFill>
                <a:schemeClr val="accent2">
                  <a:lumMod val="50000"/>
                </a:schemeClr>
              </a:solidFill>
              <a:latin typeface="Times New Roman" panose="02020603050405020304" pitchFamily="18" charset="0"/>
              <a:ea typeface="+mn-ea"/>
              <a:cs typeface="Times New Roman" panose="02020603050405020304" pitchFamily="18" charset="0"/>
            </a:rPr>
            <a:t>COUNT</a:t>
          </a:r>
        </a:p>
      </xdr:txBody>
    </xdr:sp>
    <xdr:clientData/>
  </xdr:twoCellAnchor>
  <xdr:twoCellAnchor>
    <xdr:from>
      <xdr:col>10</xdr:col>
      <xdr:colOff>502529</xdr:colOff>
      <xdr:row>7</xdr:row>
      <xdr:rowOff>43766</xdr:rowOff>
    </xdr:from>
    <xdr:to>
      <xdr:col>14</xdr:col>
      <xdr:colOff>522849</xdr:colOff>
      <xdr:row>10</xdr:row>
      <xdr:rowOff>8597</xdr:rowOff>
    </xdr:to>
    <xdr:sp macro="" textlink="KPI!B8">
      <xdr:nvSpPr>
        <xdr:cNvPr id="8" name="TextBox 7">
          <a:extLst>
            <a:ext uri="{FF2B5EF4-FFF2-40B4-BE49-F238E27FC236}">
              <a16:creationId xmlns:a16="http://schemas.microsoft.com/office/drawing/2014/main" id="{C89DBEB3-BC3C-2C77-0E1C-439927107272}"/>
            </a:ext>
          </a:extLst>
        </xdr:cNvPr>
        <xdr:cNvSpPr txBox="1"/>
      </xdr:nvSpPr>
      <xdr:spPr>
        <a:xfrm>
          <a:off x="7067452" y="1356751"/>
          <a:ext cx="2646289" cy="527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33F860-6B6E-4EEC-9773-DE50AE5CA5EF}" type="TxLink">
            <a:rPr lang="en-US" sz="2800" b="1" i="0" u="none" strike="noStrike">
              <a:solidFill>
                <a:srgbClr val="002060"/>
              </a:solidFill>
              <a:latin typeface="Calibri"/>
              <a:ea typeface="Calibri"/>
              <a:cs typeface="Calibri"/>
            </a:rPr>
            <a:pPr algn="ctr"/>
            <a:t>237</a:t>
          </a:fld>
          <a:endParaRPr lang="en-IN" sz="2800" b="1">
            <a:solidFill>
              <a:srgbClr val="002060"/>
            </a:solidFill>
          </a:endParaRPr>
        </a:p>
      </xdr:txBody>
    </xdr:sp>
    <xdr:clientData/>
  </xdr:twoCellAnchor>
  <xdr:twoCellAnchor>
    <xdr:from>
      <xdr:col>15</xdr:col>
      <xdr:colOff>140676</xdr:colOff>
      <xdr:row>5</xdr:row>
      <xdr:rowOff>128172</xdr:rowOff>
    </xdr:from>
    <xdr:to>
      <xdr:col>19</xdr:col>
      <xdr:colOff>221957</xdr:colOff>
      <xdr:row>7</xdr:row>
      <xdr:rowOff>11722</xdr:rowOff>
    </xdr:to>
    <xdr:sp macro="" textlink="">
      <xdr:nvSpPr>
        <xdr:cNvPr id="9" name="TextBox 8">
          <a:extLst>
            <a:ext uri="{FF2B5EF4-FFF2-40B4-BE49-F238E27FC236}">
              <a16:creationId xmlns:a16="http://schemas.microsoft.com/office/drawing/2014/main" id="{C3B69CC1-6D95-40E3-1CE3-B7CF03113124}"/>
            </a:ext>
          </a:extLst>
        </xdr:cNvPr>
        <xdr:cNvSpPr txBox="1"/>
      </xdr:nvSpPr>
      <xdr:spPr>
        <a:xfrm>
          <a:off x="9988061" y="1066018"/>
          <a:ext cx="2707250" cy="258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chemeClr val="accent2">
                  <a:lumMod val="50000"/>
                </a:schemeClr>
              </a:solidFill>
              <a:latin typeface="Times New Roman" panose="02020603050405020304" pitchFamily="18" charset="0"/>
              <a:ea typeface="+mn-ea"/>
              <a:cs typeface="Times New Roman" panose="02020603050405020304" pitchFamily="18" charset="0"/>
            </a:rPr>
            <a:t>AVERAGE</a:t>
          </a:r>
          <a:r>
            <a:rPr lang="en-IN" sz="1100"/>
            <a:t> </a:t>
          </a:r>
          <a:r>
            <a:rPr lang="en-IN" sz="1600" b="1">
              <a:solidFill>
                <a:schemeClr val="accent2">
                  <a:lumMod val="50000"/>
                </a:schemeClr>
              </a:solidFill>
              <a:latin typeface="Times New Roman" panose="02020603050405020304" pitchFamily="18" charset="0"/>
              <a:cs typeface="Times New Roman" panose="02020603050405020304" pitchFamily="18" charset="0"/>
            </a:rPr>
            <a:t>AGE</a:t>
          </a:r>
        </a:p>
      </xdr:txBody>
    </xdr:sp>
    <xdr:clientData/>
  </xdr:twoCellAnchor>
  <xdr:twoCellAnchor>
    <xdr:from>
      <xdr:col>15</xdr:col>
      <xdr:colOff>164123</xdr:colOff>
      <xdr:row>7</xdr:row>
      <xdr:rowOff>46893</xdr:rowOff>
    </xdr:from>
    <xdr:to>
      <xdr:col>19</xdr:col>
      <xdr:colOff>184444</xdr:colOff>
      <xdr:row>10</xdr:row>
      <xdr:rowOff>11724</xdr:rowOff>
    </xdr:to>
    <xdr:sp macro="" textlink="KPI!C8">
      <xdr:nvSpPr>
        <xdr:cNvPr id="10" name="TextBox 9">
          <a:extLst>
            <a:ext uri="{FF2B5EF4-FFF2-40B4-BE49-F238E27FC236}">
              <a16:creationId xmlns:a16="http://schemas.microsoft.com/office/drawing/2014/main" id="{EE09F177-4602-434F-80C7-380FD8802FED}"/>
            </a:ext>
          </a:extLst>
        </xdr:cNvPr>
        <xdr:cNvSpPr txBox="1"/>
      </xdr:nvSpPr>
      <xdr:spPr>
        <a:xfrm>
          <a:off x="10011508" y="1359878"/>
          <a:ext cx="2646290" cy="527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CF4697-3E55-489E-95E8-894C3EBFCFF5}" type="TxLink">
            <a:rPr lang="en-US" sz="2800" b="1" i="0" u="none" strike="noStrike">
              <a:solidFill>
                <a:srgbClr val="002060"/>
              </a:solidFill>
              <a:latin typeface="Calibri"/>
              <a:ea typeface="Calibri"/>
              <a:cs typeface="Calibri"/>
            </a:rPr>
            <a:pPr algn="ctr"/>
            <a:t>37</a:t>
          </a:fld>
          <a:endParaRPr lang="en-IN" sz="2800" b="1">
            <a:solidFill>
              <a:srgbClr val="002060"/>
            </a:solidFill>
          </a:endParaRPr>
        </a:p>
      </xdr:txBody>
    </xdr:sp>
    <xdr:clientData/>
  </xdr:twoCellAnchor>
  <xdr:twoCellAnchor>
    <xdr:from>
      <xdr:col>19</xdr:col>
      <xdr:colOff>457200</xdr:colOff>
      <xdr:row>7</xdr:row>
      <xdr:rowOff>43765</xdr:rowOff>
    </xdr:from>
    <xdr:to>
      <xdr:col>23</xdr:col>
      <xdr:colOff>544732</xdr:colOff>
      <xdr:row>10</xdr:row>
      <xdr:rowOff>3126</xdr:rowOff>
    </xdr:to>
    <xdr:sp macro="" textlink="KPI!B8">
      <xdr:nvSpPr>
        <xdr:cNvPr id="11" name="TextBox 10">
          <a:extLst>
            <a:ext uri="{FF2B5EF4-FFF2-40B4-BE49-F238E27FC236}">
              <a16:creationId xmlns:a16="http://schemas.microsoft.com/office/drawing/2014/main" id="{D65C0F99-22E2-4787-BA0F-886EB3846D68}"/>
            </a:ext>
          </a:extLst>
        </xdr:cNvPr>
        <xdr:cNvSpPr txBox="1"/>
      </xdr:nvSpPr>
      <xdr:spPr>
        <a:xfrm>
          <a:off x="12930554" y="1356750"/>
          <a:ext cx="2713501" cy="522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33F860-6B6E-4EEC-9773-DE50AE5CA5EF}" type="TxLink">
            <a:rPr lang="en-US" sz="2800" b="1" i="0" u="none" strike="noStrike">
              <a:solidFill>
                <a:srgbClr val="002060"/>
              </a:solidFill>
              <a:latin typeface="Calibri"/>
              <a:ea typeface="Calibri"/>
              <a:cs typeface="Calibri"/>
            </a:rPr>
            <a:pPr algn="ctr"/>
            <a:t>237</a:t>
          </a:fld>
          <a:endParaRPr lang="en-IN" sz="2800" b="1">
            <a:solidFill>
              <a:srgbClr val="002060"/>
            </a:solidFill>
          </a:endParaRPr>
        </a:p>
      </xdr:txBody>
    </xdr:sp>
    <xdr:clientData/>
  </xdr:twoCellAnchor>
  <xdr:twoCellAnchor>
    <xdr:from>
      <xdr:col>19</xdr:col>
      <xdr:colOff>455638</xdr:colOff>
      <xdr:row>5</xdr:row>
      <xdr:rowOff>144584</xdr:rowOff>
    </xdr:from>
    <xdr:to>
      <xdr:col>23</xdr:col>
      <xdr:colOff>465798</xdr:colOff>
      <xdr:row>7</xdr:row>
      <xdr:rowOff>17974</xdr:rowOff>
    </xdr:to>
    <xdr:sp macro="" textlink="">
      <xdr:nvSpPr>
        <xdr:cNvPr id="13" name="TextBox 12">
          <a:extLst>
            <a:ext uri="{FF2B5EF4-FFF2-40B4-BE49-F238E27FC236}">
              <a16:creationId xmlns:a16="http://schemas.microsoft.com/office/drawing/2014/main" id="{C828C02A-A6DE-BE51-A427-6B028A17FB5B}"/>
            </a:ext>
          </a:extLst>
        </xdr:cNvPr>
        <xdr:cNvSpPr txBox="1"/>
      </xdr:nvSpPr>
      <xdr:spPr>
        <a:xfrm>
          <a:off x="12928992" y="1082430"/>
          <a:ext cx="2636129" cy="248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chemeClr val="accent2">
                  <a:lumMod val="50000"/>
                </a:schemeClr>
              </a:solidFill>
              <a:latin typeface="Times New Roman" panose="02020603050405020304" pitchFamily="18" charset="0"/>
              <a:ea typeface="+mn-ea"/>
              <a:cs typeface="Times New Roman" panose="02020603050405020304" pitchFamily="18" charset="0"/>
            </a:rPr>
            <a:t>ACTIVE</a:t>
          </a:r>
          <a:r>
            <a:rPr lang="en-IN" sz="1100"/>
            <a:t> </a:t>
          </a:r>
          <a:r>
            <a:rPr lang="en-IN" sz="1600" b="1">
              <a:solidFill>
                <a:schemeClr val="accent2">
                  <a:lumMod val="50000"/>
                </a:schemeClr>
              </a:solidFill>
              <a:latin typeface="Times New Roman" panose="02020603050405020304" pitchFamily="18" charset="0"/>
              <a:ea typeface="+mn-ea"/>
              <a:cs typeface="Times New Roman" panose="02020603050405020304" pitchFamily="18" charset="0"/>
            </a:rPr>
            <a:t>EMPLOYEES</a:t>
          </a:r>
        </a:p>
      </xdr:txBody>
    </xdr:sp>
    <xdr:clientData/>
  </xdr:twoCellAnchor>
  <xdr:twoCellAnchor>
    <xdr:from>
      <xdr:col>24</xdr:col>
      <xdr:colOff>107852</xdr:colOff>
      <xdr:row>5</xdr:row>
      <xdr:rowOff>106289</xdr:rowOff>
    </xdr:from>
    <xdr:to>
      <xdr:col>27</xdr:col>
      <xdr:colOff>646331</xdr:colOff>
      <xdr:row>6</xdr:row>
      <xdr:rowOff>177409</xdr:rowOff>
    </xdr:to>
    <xdr:sp macro="" textlink="">
      <xdr:nvSpPr>
        <xdr:cNvPr id="14" name="TextBox 13">
          <a:extLst>
            <a:ext uri="{FF2B5EF4-FFF2-40B4-BE49-F238E27FC236}">
              <a16:creationId xmlns:a16="http://schemas.microsoft.com/office/drawing/2014/main" id="{715D757E-D6DA-45ED-D497-70F1EDE1F573}"/>
            </a:ext>
          </a:extLst>
        </xdr:cNvPr>
        <xdr:cNvSpPr txBox="1"/>
      </xdr:nvSpPr>
      <xdr:spPr>
        <a:xfrm>
          <a:off x="15863667" y="1044135"/>
          <a:ext cx="2707249" cy="258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chemeClr val="accent2">
                  <a:lumMod val="50000"/>
                </a:schemeClr>
              </a:solidFill>
              <a:latin typeface="Times New Roman" panose="02020603050405020304" pitchFamily="18" charset="0"/>
              <a:ea typeface="+mn-ea"/>
              <a:cs typeface="Times New Roman" panose="02020603050405020304" pitchFamily="18" charset="0"/>
            </a:rPr>
            <a:t>ATTRITION</a:t>
          </a:r>
          <a:r>
            <a:rPr lang="en-IN" sz="1100" baseline="0"/>
            <a:t> </a:t>
          </a:r>
          <a:r>
            <a:rPr lang="en-IN" sz="1600" b="1" baseline="0">
              <a:solidFill>
                <a:schemeClr val="accent2">
                  <a:lumMod val="50000"/>
                </a:schemeClr>
              </a:solidFill>
              <a:latin typeface="Times New Roman" panose="02020603050405020304" pitchFamily="18" charset="0"/>
              <a:cs typeface="Times New Roman" panose="02020603050405020304" pitchFamily="18" charset="0"/>
            </a:rPr>
            <a:t>RATE</a:t>
          </a:r>
          <a:endParaRPr lang="en-IN" sz="1600" b="1">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109416</xdr:colOff>
      <xdr:row>7</xdr:row>
      <xdr:rowOff>43765</xdr:rowOff>
    </xdr:from>
    <xdr:to>
      <xdr:col>27</xdr:col>
      <xdr:colOff>658055</xdr:colOff>
      <xdr:row>10</xdr:row>
      <xdr:rowOff>3126</xdr:rowOff>
    </xdr:to>
    <xdr:sp macro="" textlink="KPI!E8">
      <xdr:nvSpPr>
        <xdr:cNvPr id="15" name="TextBox 14">
          <a:extLst>
            <a:ext uri="{FF2B5EF4-FFF2-40B4-BE49-F238E27FC236}">
              <a16:creationId xmlns:a16="http://schemas.microsoft.com/office/drawing/2014/main" id="{596DF8D1-8413-4C2D-A52E-4243F83AE44A}"/>
            </a:ext>
          </a:extLst>
        </xdr:cNvPr>
        <xdr:cNvSpPr txBox="1"/>
      </xdr:nvSpPr>
      <xdr:spPr>
        <a:xfrm>
          <a:off x="15865231" y="1356750"/>
          <a:ext cx="2717409" cy="522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1D3CF4C-C568-418C-A429-4992F8409A18}" type="TxLink">
            <a:rPr lang="en-US" sz="2800" b="1" i="0" u="none" strike="noStrike">
              <a:solidFill>
                <a:srgbClr val="002060"/>
              </a:solidFill>
              <a:latin typeface="Calibri"/>
              <a:ea typeface="Calibri"/>
              <a:cs typeface="Calibri"/>
            </a:rPr>
            <a:pPr algn="ctr"/>
            <a:t>16.12%</a:t>
          </a:fld>
          <a:endParaRPr lang="en-IN" sz="2800" b="1">
            <a:solidFill>
              <a:srgbClr val="002060"/>
            </a:solidFill>
          </a:endParaRPr>
        </a:p>
      </xdr:txBody>
    </xdr:sp>
    <xdr:clientData/>
  </xdr:twoCellAnchor>
  <xdr:oneCellAnchor>
    <xdr:from>
      <xdr:col>9</xdr:col>
      <xdr:colOff>621323</xdr:colOff>
      <xdr:row>5</xdr:row>
      <xdr:rowOff>122702</xdr:rowOff>
    </xdr:from>
    <xdr:ext cx="304800" cy="311052"/>
    <xdr:pic>
      <xdr:nvPicPr>
        <xdr:cNvPr id="16" name="image4.png">
          <a:extLst>
            <a:ext uri="{FF2B5EF4-FFF2-40B4-BE49-F238E27FC236}">
              <a16:creationId xmlns:a16="http://schemas.microsoft.com/office/drawing/2014/main" id="{09A3DAB0-8303-40E2-BB30-D72CBFEB2E27}"/>
            </a:ext>
          </a:extLst>
        </xdr:cNvPr>
        <xdr:cNvPicPr preferRelativeResize="0"/>
      </xdr:nvPicPr>
      <xdr:blipFill>
        <a:blip xmlns:r="http://schemas.openxmlformats.org/officeDocument/2006/relationships" r:embed="rId1" cstate="print"/>
        <a:stretch>
          <a:fillRect/>
        </a:stretch>
      </xdr:blipFill>
      <xdr:spPr>
        <a:xfrm>
          <a:off x="6529754" y="1060548"/>
          <a:ext cx="304800" cy="311052"/>
        </a:xfrm>
        <a:prstGeom prst="rect">
          <a:avLst/>
        </a:prstGeom>
        <a:noFill/>
      </xdr:spPr>
    </xdr:pic>
    <xdr:clientData fLocksWithSheet="0"/>
  </xdr:oneCellAnchor>
  <xdr:oneCellAnchor>
    <xdr:from>
      <xdr:col>23</xdr:col>
      <xdr:colOff>127392</xdr:colOff>
      <xdr:row>5</xdr:row>
      <xdr:rowOff>121139</xdr:rowOff>
    </xdr:from>
    <xdr:ext cx="364977" cy="277446"/>
    <xdr:pic>
      <xdr:nvPicPr>
        <xdr:cNvPr id="17" name="image5.png">
          <a:extLst>
            <a:ext uri="{FF2B5EF4-FFF2-40B4-BE49-F238E27FC236}">
              <a16:creationId xmlns:a16="http://schemas.microsoft.com/office/drawing/2014/main" id="{32459C2C-B5A7-4F49-A497-9EF9AF458A68}"/>
            </a:ext>
          </a:extLst>
        </xdr:cNvPr>
        <xdr:cNvPicPr preferRelativeResize="0"/>
      </xdr:nvPicPr>
      <xdr:blipFill>
        <a:blip xmlns:r="http://schemas.openxmlformats.org/officeDocument/2006/relationships" r:embed="rId2" cstate="print"/>
        <a:stretch>
          <a:fillRect/>
        </a:stretch>
      </xdr:blipFill>
      <xdr:spPr>
        <a:xfrm>
          <a:off x="15226715" y="1058985"/>
          <a:ext cx="364977" cy="277446"/>
        </a:xfrm>
        <a:prstGeom prst="rect">
          <a:avLst/>
        </a:prstGeom>
        <a:noFill/>
      </xdr:spPr>
    </xdr:pic>
    <xdr:clientData fLocksWithSheet="0"/>
  </xdr:oneCellAnchor>
  <xdr:oneCellAnchor>
    <xdr:from>
      <xdr:col>27</xdr:col>
      <xdr:colOff>154745</xdr:colOff>
      <xdr:row>5</xdr:row>
      <xdr:rowOff>118012</xdr:rowOff>
    </xdr:from>
    <xdr:ext cx="349348" cy="280573"/>
    <xdr:pic>
      <xdr:nvPicPr>
        <xdr:cNvPr id="18" name="image2.png">
          <a:extLst>
            <a:ext uri="{FF2B5EF4-FFF2-40B4-BE49-F238E27FC236}">
              <a16:creationId xmlns:a16="http://schemas.microsoft.com/office/drawing/2014/main" id="{BA82D8BA-D76A-437C-AA82-FBB9911046DE}"/>
            </a:ext>
          </a:extLst>
        </xdr:cNvPr>
        <xdr:cNvPicPr preferRelativeResize="0"/>
      </xdr:nvPicPr>
      <xdr:blipFill>
        <a:blip xmlns:r="http://schemas.openxmlformats.org/officeDocument/2006/relationships" r:embed="rId3" cstate="print"/>
        <a:stretch>
          <a:fillRect/>
        </a:stretch>
      </xdr:blipFill>
      <xdr:spPr>
        <a:xfrm>
          <a:off x="18079330" y="1055858"/>
          <a:ext cx="349348" cy="280573"/>
        </a:xfrm>
        <a:prstGeom prst="rect">
          <a:avLst/>
        </a:prstGeom>
        <a:noFill/>
      </xdr:spPr>
    </xdr:pic>
    <xdr:clientData fLocksWithSheet="0"/>
  </xdr:oneCellAnchor>
  <xdr:oneCellAnchor>
    <xdr:from>
      <xdr:col>18</xdr:col>
      <xdr:colOff>492369</xdr:colOff>
      <xdr:row>5</xdr:row>
      <xdr:rowOff>116449</xdr:rowOff>
    </xdr:from>
    <xdr:ext cx="351692" cy="329028"/>
    <xdr:pic>
      <xdr:nvPicPr>
        <xdr:cNvPr id="19" name="image6.png">
          <a:extLst>
            <a:ext uri="{FF2B5EF4-FFF2-40B4-BE49-F238E27FC236}">
              <a16:creationId xmlns:a16="http://schemas.microsoft.com/office/drawing/2014/main" id="{31BDF51B-C23E-431F-8942-B94C1831292C}"/>
            </a:ext>
          </a:extLst>
        </xdr:cNvPr>
        <xdr:cNvPicPr preferRelativeResize="0"/>
      </xdr:nvPicPr>
      <xdr:blipFill>
        <a:blip xmlns:r="http://schemas.openxmlformats.org/officeDocument/2006/relationships" r:embed="rId4" cstate="print"/>
        <a:stretch>
          <a:fillRect/>
        </a:stretch>
      </xdr:blipFill>
      <xdr:spPr>
        <a:xfrm>
          <a:off x="12309231" y="1054295"/>
          <a:ext cx="351692" cy="329028"/>
        </a:xfrm>
        <a:prstGeom prst="rect">
          <a:avLst/>
        </a:prstGeom>
        <a:noFill/>
      </xdr:spPr>
    </xdr:pic>
    <xdr:clientData fLocksWithSheet="0"/>
  </xdr:oneCellAnchor>
  <xdr:oneCellAnchor>
    <xdr:from>
      <xdr:col>14</xdr:col>
      <xdr:colOff>15338</xdr:colOff>
      <xdr:row>5</xdr:row>
      <xdr:rowOff>70338</xdr:rowOff>
    </xdr:from>
    <xdr:ext cx="512201" cy="445477"/>
    <xdr:pic>
      <xdr:nvPicPr>
        <xdr:cNvPr id="25" name="image7.png">
          <a:extLst>
            <a:ext uri="{FF2B5EF4-FFF2-40B4-BE49-F238E27FC236}">
              <a16:creationId xmlns:a16="http://schemas.microsoft.com/office/drawing/2014/main" id="{D516D7F7-542C-44AB-BF47-F38F18B52280}"/>
            </a:ext>
          </a:extLst>
        </xdr:cNvPr>
        <xdr:cNvPicPr preferRelativeResize="0"/>
      </xdr:nvPicPr>
      <xdr:blipFill>
        <a:blip xmlns:r="http://schemas.openxmlformats.org/officeDocument/2006/relationships" r:embed="rId5" cstate="print"/>
        <a:stretch>
          <a:fillRect/>
        </a:stretch>
      </xdr:blipFill>
      <xdr:spPr>
        <a:xfrm>
          <a:off x="9206230" y="1008184"/>
          <a:ext cx="512201" cy="445477"/>
        </a:xfrm>
        <a:prstGeom prst="rect">
          <a:avLst/>
        </a:prstGeom>
        <a:noFill/>
      </xdr:spPr>
    </xdr:pic>
    <xdr:clientData fLocksWithSheet="0"/>
  </xdr:oneCellAnchor>
  <xdr:twoCellAnchor>
    <xdr:from>
      <xdr:col>6</xdr:col>
      <xdr:colOff>375138</xdr:colOff>
      <xdr:row>0</xdr:row>
      <xdr:rowOff>152400</xdr:rowOff>
    </xdr:from>
    <xdr:to>
      <xdr:col>18</xdr:col>
      <xdr:colOff>633046</xdr:colOff>
      <xdr:row>4</xdr:row>
      <xdr:rowOff>70338</xdr:rowOff>
    </xdr:to>
    <xdr:sp macro="" textlink="">
      <xdr:nvSpPr>
        <xdr:cNvPr id="26" name="TextBox 25">
          <a:extLst>
            <a:ext uri="{FF2B5EF4-FFF2-40B4-BE49-F238E27FC236}">
              <a16:creationId xmlns:a16="http://schemas.microsoft.com/office/drawing/2014/main" id="{9C7C8A05-68E3-89AC-1171-0C8837D02C0A}"/>
            </a:ext>
          </a:extLst>
        </xdr:cNvPr>
        <xdr:cNvSpPr txBox="1"/>
      </xdr:nvSpPr>
      <xdr:spPr>
        <a:xfrm>
          <a:off x="4314092" y="152400"/>
          <a:ext cx="8135816" cy="66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accent5">
                  <a:lumMod val="50000"/>
                </a:schemeClr>
              </a:solidFill>
              <a:latin typeface="Times New Roman" panose="02020603050405020304" pitchFamily="18" charset="0"/>
              <a:cs typeface="Times New Roman" panose="02020603050405020304" pitchFamily="18" charset="0"/>
            </a:rPr>
            <a:t>HR </a:t>
          </a:r>
          <a:r>
            <a:rPr lang="en-IN" sz="3600" b="1">
              <a:solidFill>
                <a:schemeClr val="accent1">
                  <a:lumMod val="50000"/>
                </a:schemeClr>
              </a:solidFill>
              <a:latin typeface="Times New Roman" panose="02020603050405020304" pitchFamily="18" charset="0"/>
              <a:cs typeface="Times New Roman" panose="02020603050405020304" pitchFamily="18" charset="0"/>
            </a:rPr>
            <a:t>ANALYTICS</a:t>
          </a:r>
          <a:r>
            <a:rPr lang="en-IN" sz="3600" b="1">
              <a:solidFill>
                <a:schemeClr val="accent5">
                  <a:lumMod val="50000"/>
                </a:schemeClr>
              </a:solidFill>
              <a:latin typeface="Times New Roman" panose="02020603050405020304" pitchFamily="18" charset="0"/>
              <a:cs typeface="Times New Roman" panose="02020603050405020304" pitchFamily="18" charset="0"/>
            </a:rPr>
            <a:t> DASHBOARD</a:t>
          </a:r>
        </a:p>
      </xdr:txBody>
    </xdr:sp>
    <xdr:clientData/>
  </xdr:twoCellAnchor>
  <xdr:oneCellAnchor>
    <xdr:from>
      <xdr:col>6</xdr:col>
      <xdr:colOff>343584</xdr:colOff>
      <xdr:row>1</xdr:row>
      <xdr:rowOff>46892</xdr:rowOff>
    </xdr:from>
    <xdr:ext cx="641154" cy="523875"/>
    <xdr:pic>
      <xdr:nvPicPr>
        <xdr:cNvPr id="27" name="image1.png">
          <a:extLst>
            <a:ext uri="{FF2B5EF4-FFF2-40B4-BE49-F238E27FC236}">
              <a16:creationId xmlns:a16="http://schemas.microsoft.com/office/drawing/2014/main" id="{43A79C9C-5A98-4FCC-A0D6-08E5C28601F4}"/>
            </a:ext>
          </a:extLst>
        </xdr:cNvPr>
        <xdr:cNvPicPr preferRelativeResize="0"/>
      </xdr:nvPicPr>
      <xdr:blipFill>
        <a:blip xmlns:r="http://schemas.openxmlformats.org/officeDocument/2006/relationships" r:embed="rId6" cstate="print"/>
        <a:stretch>
          <a:fillRect/>
        </a:stretch>
      </xdr:blipFill>
      <xdr:spPr>
        <a:xfrm>
          <a:off x="4282538" y="234461"/>
          <a:ext cx="641154" cy="523875"/>
        </a:xfrm>
        <a:prstGeom prst="rect">
          <a:avLst/>
        </a:prstGeom>
        <a:noFill/>
      </xdr:spPr>
    </xdr:pic>
    <xdr:clientData fLocksWithSheet="0"/>
  </xdr:oneCellAnchor>
  <xdr:oneCellAnchor>
    <xdr:from>
      <xdr:col>19</xdr:col>
      <xdr:colOff>331861</xdr:colOff>
      <xdr:row>0</xdr:row>
      <xdr:rowOff>164123</xdr:rowOff>
    </xdr:from>
    <xdr:ext cx="723900" cy="628650"/>
    <xdr:pic>
      <xdr:nvPicPr>
        <xdr:cNvPr id="28" name="image3.png">
          <a:extLst>
            <a:ext uri="{FF2B5EF4-FFF2-40B4-BE49-F238E27FC236}">
              <a16:creationId xmlns:a16="http://schemas.microsoft.com/office/drawing/2014/main" id="{6D07731B-0F88-42BF-BC4A-42686434F1B3}"/>
            </a:ext>
          </a:extLst>
        </xdr:cNvPr>
        <xdr:cNvPicPr preferRelativeResize="0"/>
      </xdr:nvPicPr>
      <xdr:blipFill>
        <a:blip xmlns:r="http://schemas.openxmlformats.org/officeDocument/2006/relationships" r:embed="rId7" cstate="print"/>
        <a:stretch>
          <a:fillRect/>
        </a:stretch>
      </xdr:blipFill>
      <xdr:spPr>
        <a:xfrm>
          <a:off x="12805215" y="164123"/>
          <a:ext cx="723900" cy="628650"/>
        </a:xfrm>
        <a:prstGeom prst="rect">
          <a:avLst/>
        </a:prstGeom>
        <a:noFill/>
      </xdr:spPr>
    </xdr:pic>
    <xdr:clientData fLocksWithSheet="0"/>
  </xdr:oneCellAnchor>
  <xdr:twoCellAnchor>
    <xdr:from>
      <xdr:col>20</xdr:col>
      <xdr:colOff>386863</xdr:colOff>
      <xdr:row>0</xdr:row>
      <xdr:rowOff>175846</xdr:rowOff>
    </xdr:from>
    <xdr:to>
      <xdr:col>22</xdr:col>
      <xdr:colOff>550985</xdr:colOff>
      <xdr:row>4</xdr:row>
      <xdr:rowOff>140676</xdr:rowOff>
    </xdr:to>
    <xdr:sp macro="" textlink="">
      <xdr:nvSpPr>
        <xdr:cNvPr id="54" name="TextBox 53">
          <a:extLst>
            <a:ext uri="{FF2B5EF4-FFF2-40B4-BE49-F238E27FC236}">
              <a16:creationId xmlns:a16="http://schemas.microsoft.com/office/drawing/2014/main" id="{4DA8707B-3285-71A1-8658-1A040FC3E0B5}"/>
            </a:ext>
          </a:extLst>
        </xdr:cNvPr>
        <xdr:cNvSpPr txBox="1"/>
      </xdr:nvSpPr>
      <xdr:spPr>
        <a:xfrm>
          <a:off x="13516709" y="175846"/>
          <a:ext cx="1477107" cy="715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2">
                  <a:lumMod val="50000"/>
                </a:schemeClr>
              </a:solidFill>
              <a:latin typeface="Times New Roman" panose="02020603050405020304" pitchFamily="18" charset="0"/>
              <a:cs typeface="Times New Roman" panose="02020603050405020304" pitchFamily="18" charset="0"/>
            </a:rPr>
            <a:t>JOB SATISFACTION RATING</a:t>
          </a:r>
        </a:p>
      </xdr:txBody>
    </xdr:sp>
    <xdr:clientData/>
  </xdr:twoCellAnchor>
  <xdr:twoCellAnchor>
    <xdr:from>
      <xdr:col>22</xdr:col>
      <xdr:colOff>527537</xdr:colOff>
      <xdr:row>0</xdr:row>
      <xdr:rowOff>82062</xdr:rowOff>
    </xdr:from>
    <xdr:to>
      <xdr:col>24</xdr:col>
      <xdr:colOff>128954</xdr:colOff>
      <xdr:row>5</xdr:row>
      <xdr:rowOff>23447</xdr:rowOff>
    </xdr:to>
    <xdr:graphicFrame macro="">
      <xdr:nvGraphicFramePr>
        <xdr:cNvPr id="55" name="Chart 54">
          <a:extLst>
            <a:ext uri="{FF2B5EF4-FFF2-40B4-BE49-F238E27FC236}">
              <a16:creationId xmlns:a16="http://schemas.microsoft.com/office/drawing/2014/main" id="{22F5E16A-6226-4C5C-8AAF-BAE1D55F5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644769</xdr:colOff>
      <xdr:row>0</xdr:row>
      <xdr:rowOff>128955</xdr:rowOff>
    </xdr:from>
    <xdr:to>
      <xdr:col>27</xdr:col>
      <xdr:colOff>550984</xdr:colOff>
      <xdr:row>4</xdr:row>
      <xdr:rowOff>93786</xdr:rowOff>
    </xdr:to>
    <xdr:graphicFrame macro="">
      <xdr:nvGraphicFramePr>
        <xdr:cNvPr id="57" name="Chart 56">
          <a:extLst>
            <a:ext uri="{FF2B5EF4-FFF2-40B4-BE49-F238E27FC236}">
              <a16:creationId xmlns:a16="http://schemas.microsoft.com/office/drawing/2014/main" id="{CFCED5EA-6A4E-4E51-B1A1-06805276A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62230</xdr:colOff>
      <xdr:row>1</xdr:row>
      <xdr:rowOff>82062</xdr:rowOff>
    </xdr:from>
    <xdr:to>
      <xdr:col>27</xdr:col>
      <xdr:colOff>422030</xdr:colOff>
      <xdr:row>3</xdr:row>
      <xdr:rowOff>140677</xdr:rowOff>
    </xdr:to>
    <xdr:sp macro="" textlink="">
      <xdr:nvSpPr>
        <xdr:cNvPr id="56" name="Freeform: Shape 55">
          <a:extLst>
            <a:ext uri="{FF2B5EF4-FFF2-40B4-BE49-F238E27FC236}">
              <a16:creationId xmlns:a16="http://schemas.microsoft.com/office/drawing/2014/main" id="{50E0BCF1-589A-54B6-CB3F-4F054299CFEB}"/>
            </a:ext>
          </a:extLst>
        </xdr:cNvPr>
        <xdr:cNvSpPr/>
      </xdr:nvSpPr>
      <xdr:spPr>
        <a:xfrm>
          <a:off x="15818045" y="269631"/>
          <a:ext cx="2528570" cy="433754"/>
        </a:xfrm>
        <a:custGeom>
          <a:avLst/>
          <a:gdLst>
            <a:gd name="csX0" fmla="*/ 0 w 2143432"/>
            <a:gd name="csY0" fmla="*/ 0 h 353961"/>
            <a:gd name="csX1" fmla="*/ 344130 w 2143432"/>
            <a:gd name="csY1" fmla="*/ 0 h 353961"/>
            <a:gd name="csX2" fmla="*/ 293067 w 2143432"/>
            <a:gd name="csY2" fmla="*/ 135202 h 353961"/>
            <a:gd name="csX3" fmla="*/ 127820 w 2143432"/>
            <a:gd name="csY3" fmla="*/ 135201 h 353961"/>
            <a:gd name="csX4" fmla="*/ 261508 w 2143432"/>
            <a:gd name="csY4" fmla="*/ 218759 h 353961"/>
            <a:gd name="csX5" fmla="*/ 210443 w 2143432"/>
            <a:gd name="csY5" fmla="*/ 353960 h 353961"/>
            <a:gd name="csX6" fmla="*/ 344130 w 2143432"/>
            <a:gd name="csY6" fmla="*/ 270400 h 353961"/>
            <a:gd name="csX7" fmla="*/ 477817 w 2143432"/>
            <a:gd name="csY7" fmla="*/ 353960 h 353961"/>
            <a:gd name="csX8" fmla="*/ 426752 w 2143432"/>
            <a:gd name="csY8" fmla="*/ 218759 h 353961"/>
            <a:gd name="csX9" fmla="*/ 560440 w 2143432"/>
            <a:gd name="csY9" fmla="*/ 135201 h 353961"/>
            <a:gd name="csX10" fmla="*/ 395193 w 2143432"/>
            <a:gd name="csY10" fmla="*/ 135202 h 353961"/>
            <a:gd name="csX11" fmla="*/ 344130 w 2143432"/>
            <a:gd name="csY11" fmla="*/ 0 h 353961"/>
            <a:gd name="csX12" fmla="*/ 843117 w 2143432"/>
            <a:gd name="csY12" fmla="*/ 0 h 353961"/>
            <a:gd name="csX13" fmla="*/ 792054 w 2143432"/>
            <a:gd name="csY13" fmla="*/ 135202 h 353961"/>
            <a:gd name="csX14" fmla="*/ 626807 w 2143432"/>
            <a:gd name="csY14" fmla="*/ 135201 h 353961"/>
            <a:gd name="csX15" fmla="*/ 760495 w 2143432"/>
            <a:gd name="csY15" fmla="*/ 218759 h 353961"/>
            <a:gd name="csX16" fmla="*/ 709430 w 2143432"/>
            <a:gd name="csY16" fmla="*/ 353960 h 353961"/>
            <a:gd name="csX17" fmla="*/ 843117 w 2143432"/>
            <a:gd name="csY17" fmla="*/ 270400 h 353961"/>
            <a:gd name="csX18" fmla="*/ 976804 w 2143432"/>
            <a:gd name="csY18" fmla="*/ 353960 h 353961"/>
            <a:gd name="csX19" fmla="*/ 925739 w 2143432"/>
            <a:gd name="csY19" fmla="*/ 218759 h 353961"/>
            <a:gd name="csX20" fmla="*/ 1059427 w 2143432"/>
            <a:gd name="csY20" fmla="*/ 135201 h 353961"/>
            <a:gd name="csX21" fmla="*/ 894180 w 2143432"/>
            <a:gd name="csY21" fmla="*/ 135202 h 353961"/>
            <a:gd name="csX22" fmla="*/ 843117 w 2143432"/>
            <a:gd name="csY22" fmla="*/ 0 h 353961"/>
            <a:gd name="csX23" fmla="*/ 1342104 w 2143432"/>
            <a:gd name="csY23" fmla="*/ 0 h 353961"/>
            <a:gd name="csX24" fmla="*/ 1291041 w 2143432"/>
            <a:gd name="csY24" fmla="*/ 135202 h 353961"/>
            <a:gd name="csX25" fmla="*/ 1125794 w 2143432"/>
            <a:gd name="csY25" fmla="*/ 135201 h 353961"/>
            <a:gd name="csX26" fmla="*/ 1259482 w 2143432"/>
            <a:gd name="csY26" fmla="*/ 218759 h 353961"/>
            <a:gd name="csX27" fmla="*/ 1208417 w 2143432"/>
            <a:gd name="csY27" fmla="*/ 353960 h 353961"/>
            <a:gd name="csX28" fmla="*/ 1342104 w 2143432"/>
            <a:gd name="csY28" fmla="*/ 270400 h 353961"/>
            <a:gd name="csX29" fmla="*/ 1475791 w 2143432"/>
            <a:gd name="csY29" fmla="*/ 353960 h 353961"/>
            <a:gd name="csX30" fmla="*/ 1424726 w 2143432"/>
            <a:gd name="csY30" fmla="*/ 218759 h 353961"/>
            <a:gd name="csX31" fmla="*/ 1558414 w 2143432"/>
            <a:gd name="csY31" fmla="*/ 135201 h 353961"/>
            <a:gd name="csX32" fmla="*/ 1393167 w 2143432"/>
            <a:gd name="csY32" fmla="*/ 135202 h 353961"/>
            <a:gd name="csX33" fmla="*/ 1342104 w 2143432"/>
            <a:gd name="csY33" fmla="*/ 0 h 353961"/>
            <a:gd name="csX34" fmla="*/ 1841091 w 2143432"/>
            <a:gd name="csY34" fmla="*/ 0 h 353961"/>
            <a:gd name="csX35" fmla="*/ 1803464 w 2143432"/>
            <a:gd name="csY35" fmla="*/ 151110 h 353961"/>
            <a:gd name="csX36" fmla="*/ 1624781 w 2143432"/>
            <a:gd name="csY36" fmla="*/ 135201 h 353961"/>
            <a:gd name="csX37" fmla="*/ 1780209 w 2143432"/>
            <a:gd name="csY37" fmla="*/ 212682 h 353961"/>
            <a:gd name="csX38" fmla="*/ 1707404 w 2143432"/>
            <a:gd name="csY38" fmla="*/ 353960 h 353961"/>
            <a:gd name="csX39" fmla="*/ 1841091 w 2143432"/>
            <a:gd name="csY39" fmla="*/ 250736 h 353961"/>
            <a:gd name="csX40" fmla="*/ 1974778 w 2143432"/>
            <a:gd name="csY40" fmla="*/ 353960 h 353961"/>
            <a:gd name="csX41" fmla="*/ 1901973 w 2143432"/>
            <a:gd name="csY41" fmla="*/ 212682 h 353961"/>
            <a:gd name="csX42" fmla="*/ 2057401 w 2143432"/>
            <a:gd name="csY42" fmla="*/ 135201 h 353961"/>
            <a:gd name="csX43" fmla="*/ 1878718 w 2143432"/>
            <a:gd name="csY43" fmla="*/ 151110 h 353961"/>
            <a:gd name="csX44" fmla="*/ 1841091 w 2143432"/>
            <a:gd name="csY44" fmla="*/ 0 h 353961"/>
            <a:gd name="csX45" fmla="*/ 2143432 w 2143432"/>
            <a:gd name="csY45" fmla="*/ 0 h 353961"/>
            <a:gd name="csX46" fmla="*/ 2143432 w 2143432"/>
            <a:gd name="csY46" fmla="*/ 353961 h 353961"/>
            <a:gd name="csX47" fmla="*/ 0 w 2143432"/>
            <a:gd name="csY47" fmla="*/ 353961 h 35396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Lst>
          <a:rect l="l" t="t" r="r" b="b"/>
          <a:pathLst>
            <a:path w="2143432" h="353961">
              <a:moveTo>
                <a:pt x="0" y="0"/>
              </a:moveTo>
              <a:lnTo>
                <a:pt x="344130" y="0"/>
              </a:lnTo>
              <a:lnTo>
                <a:pt x="293067" y="135202"/>
              </a:lnTo>
              <a:lnTo>
                <a:pt x="127820" y="135201"/>
              </a:lnTo>
              <a:lnTo>
                <a:pt x="261508" y="218759"/>
              </a:lnTo>
              <a:lnTo>
                <a:pt x="210443" y="353960"/>
              </a:lnTo>
              <a:lnTo>
                <a:pt x="344130" y="270400"/>
              </a:lnTo>
              <a:lnTo>
                <a:pt x="477817" y="353960"/>
              </a:lnTo>
              <a:lnTo>
                <a:pt x="426752" y="218759"/>
              </a:lnTo>
              <a:lnTo>
                <a:pt x="560440" y="135201"/>
              </a:lnTo>
              <a:lnTo>
                <a:pt x="395193" y="135202"/>
              </a:lnTo>
              <a:lnTo>
                <a:pt x="344130" y="0"/>
              </a:lnTo>
              <a:lnTo>
                <a:pt x="843117" y="0"/>
              </a:lnTo>
              <a:lnTo>
                <a:pt x="792054" y="135202"/>
              </a:lnTo>
              <a:lnTo>
                <a:pt x="626807" y="135201"/>
              </a:lnTo>
              <a:lnTo>
                <a:pt x="760495" y="218759"/>
              </a:lnTo>
              <a:lnTo>
                <a:pt x="709430" y="353960"/>
              </a:lnTo>
              <a:lnTo>
                <a:pt x="843117" y="270400"/>
              </a:lnTo>
              <a:lnTo>
                <a:pt x="976804" y="353960"/>
              </a:lnTo>
              <a:lnTo>
                <a:pt x="925739" y="218759"/>
              </a:lnTo>
              <a:lnTo>
                <a:pt x="1059427" y="135201"/>
              </a:lnTo>
              <a:lnTo>
                <a:pt x="894180" y="135202"/>
              </a:lnTo>
              <a:lnTo>
                <a:pt x="843117" y="0"/>
              </a:lnTo>
              <a:lnTo>
                <a:pt x="1342104" y="0"/>
              </a:lnTo>
              <a:lnTo>
                <a:pt x="1291041" y="135202"/>
              </a:lnTo>
              <a:lnTo>
                <a:pt x="1125794" y="135201"/>
              </a:lnTo>
              <a:lnTo>
                <a:pt x="1259482" y="218759"/>
              </a:lnTo>
              <a:lnTo>
                <a:pt x="1208417" y="353960"/>
              </a:lnTo>
              <a:lnTo>
                <a:pt x="1342104" y="270400"/>
              </a:lnTo>
              <a:lnTo>
                <a:pt x="1475791" y="353960"/>
              </a:lnTo>
              <a:lnTo>
                <a:pt x="1424726" y="218759"/>
              </a:lnTo>
              <a:lnTo>
                <a:pt x="1558414" y="135201"/>
              </a:lnTo>
              <a:lnTo>
                <a:pt x="1393167" y="135202"/>
              </a:lnTo>
              <a:lnTo>
                <a:pt x="1342104" y="0"/>
              </a:lnTo>
              <a:lnTo>
                <a:pt x="1841091" y="0"/>
              </a:lnTo>
              <a:lnTo>
                <a:pt x="1803464" y="151110"/>
              </a:lnTo>
              <a:lnTo>
                <a:pt x="1624781" y="135201"/>
              </a:lnTo>
              <a:lnTo>
                <a:pt x="1780209" y="212682"/>
              </a:lnTo>
              <a:lnTo>
                <a:pt x="1707404" y="353960"/>
              </a:lnTo>
              <a:lnTo>
                <a:pt x="1841091" y="250736"/>
              </a:lnTo>
              <a:lnTo>
                <a:pt x="1974778" y="353960"/>
              </a:lnTo>
              <a:lnTo>
                <a:pt x="1901973" y="212682"/>
              </a:lnTo>
              <a:lnTo>
                <a:pt x="2057401" y="135201"/>
              </a:lnTo>
              <a:lnTo>
                <a:pt x="1878718" y="151110"/>
              </a:lnTo>
              <a:lnTo>
                <a:pt x="1841091" y="0"/>
              </a:lnTo>
              <a:lnTo>
                <a:pt x="2143432" y="0"/>
              </a:lnTo>
              <a:lnTo>
                <a:pt x="2143432" y="353961"/>
              </a:lnTo>
              <a:lnTo>
                <a:pt x="0" y="353961"/>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1"/>
            </a:solidFill>
          </a:endParaRPr>
        </a:p>
      </xdr:txBody>
    </xdr:sp>
    <xdr:clientData/>
  </xdr:twoCellAnchor>
  <xdr:twoCellAnchor>
    <xdr:from>
      <xdr:col>6</xdr:col>
      <xdr:colOff>144291</xdr:colOff>
      <xdr:row>15</xdr:row>
      <xdr:rowOff>11723</xdr:rowOff>
    </xdr:from>
    <xdr:to>
      <xdr:col>8</xdr:col>
      <xdr:colOff>597876</xdr:colOff>
      <xdr:row>23</xdr:row>
      <xdr:rowOff>140677</xdr:rowOff>
    </xdr:to>
    <xdr:graphicFrame macro="">
      <xdr:nvGraphicFramePr>
        <xdr:cNvPr id="61" name="Chart 60">
          <a:extLst>
            <a:ext uri="{FF2B5EF4-FFF2-40B4-BE49-F238E27FC236}">
              <a16:creationId xmlns:a16="http://schemas.microsoft.com/office/drawing/2014/main" id="{C4086057-7266-4584-A722-987248424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199292</xdr:colOff>
      <xdr:row>15</xdr:row>
      <xdr:rowOff>93783</xdr:rowOff>
    </xdr:from>
    <xdr:to>
      <xdr:col>12</xdr:col>
      <xdr:colOff>578338</xdr:colOff>
      <xdr:row>24</xdr:row>
      <xdr:rowOff>35169</xdr:rowOff>
    </xdr:to>
    <xdr:graphicFrame macro="">
      <xdr:nvGraphicFramePr>
        <xdr:cNvPr id="62" name="Chart 61">
          <a:extLst>
            <a:ext uri="{FF2B5EF4-FFF2-40B4-BE49-F238E27FC236}">
              <a16:creationId xmlns:a16="http://schemas.microsoft.com/office/drawing/2014/main" id="{78D962F4-06DA-4D24-8C30-3C73F031E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457200</xdr:colOff>
      <xdr:row>18</xdr:row>
      <xdr:rowOff>45694</xdr:rowOff>
    </xdr:from>
    <xdr:to>
      <xdr:col>10</xdr:col>
      <xdr:colOff>492369</xdr:colOff>
      <xdr:row>21</xdr:row>
      <xdr:rowOff>174647</xdr:rowOff>
    </xdr:to>
    <xdr:pic>
      <xdr:nvPicPr>
        <xdr:cNvPr id="72" name="Graphic 71" descr="Male profile with solid fill">
          <a:extLst>
            <a:ext uri="{FF2B5EF4-FFF2-40B4-BE49-F238E27FC236}">
              <a16:creationId xmlns:a16="http://schemas.microsoft.com/office/drawing/2014/main" id="{0599D4A7-C06C-E017-6983-3E61D5F5193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365631" y="3421940"/>
          <a:ext cx="691661" cy="691661"/>
        </a:xfrm>
        <a:prstGeom prst="rect">
          <a:avLst/>
        </a:prstGeom>
      </xdr:spPr>
    </xdr:pic>
    <xdr:clientData/>
  </xdr:twoCellAnchor>
  <xdr:twoCellAnchor editAs="oneCell">
    <xdr:from>
      <xdr:col>8</xdr:col>
      <xdr:colOff>220340</xdr:colOff>
      <xdr:row>18</xdr:row>
      <xdr:rowOff>50356</xdr:rowOff>
    </xdr:from>
    <xdr:to>
      <xdr:col>9</xdr:col>
      <xdr:colOff>246184</xdr:colOff>
      <xdr:row>21</xdr:row>
      <xdr:rowOff>169985</xdr:rowOff>
    </xdr:to>
    <xdr:pic>
      <xdr:nvPicPr>
        <xdr:cNvPr id="74" name="Graphic 73" descr="Female Profile with solid fill">
          <a:extLst>
            <a:ext uri="{FF2B5EF4-FFF2-40B4-BE49-F238E27FC236}">
              <a16:creationId xmlns:a16="http://schemas.microsoft.com/office/drawing/2014/main" id="{CB8B3BDF-67F9-2A96-502A-A17301B23BD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472278" y="3426602"/>
          <a:ext cx="682337" cy="682337"/>
        </a:xfrm>
        <a:prstGeom prst="rect">
          <a:avLst/>
        </a:prstGeom>
      </xdr:spPr>
    </xdr:pic>
    <xdr:clientData/>
  </xdr:twoCellAnchor>
  <xdr:twoCellAnchor>
    <xdr:from>
      <xdr:col>6</xdr:col>
      <xdr:colOff>234461</xdr:colOff>
      <xdr:row>11</xdr:row>
      <xdr:rowOff>35169</xdr:rowOff>
    </xdr:from>
    <xdr:to>
      <xdr:col>12</xdr:col>
      <xdr:colOff>211015</xdr:colOff>
      <xdr:row>12</xdr:row>
      <xdr:rowOff>117231</xdr:rowOff>
    </xdr:to>
    <xdr:sp macro="" textlink="">
      <xdr:nvSpPr>
        <xdr:cNvPr id="77" name="TextBox 76">
          <a:extLst>
            <a:ext uri="{FF2B5EF4-FFF2-40B4-BE49-F238E27FC236}">
              <a16:creationId xmlns:a16="http://schemas.microsoft.com/office/drawing/2014/main" id="{EE46F91E-DF32-07AB-0AC2-E0C0C02E72EB}"/>
            </a:ext>
          </a:extLst>
        </xdr:cNvPr>
        <xdr:cNvSpPr txBox="1"/>
      </xdr:nvSpPr>
      <xdr:spPr>
        <a:xfrm>
          <a:off x="4173415" y="2098431"/>
          <a:ext cx="3915508" cy="269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2">
                  <a:lumMod val="50000"/>
                </a:schemeClr>
              </a:solidFill>
              <a:latin typeface="Times New Roman" panose="02020603050405020304" pitchFamily="18" charset="0"/>
              <a:cs typeface="Times New Roman" panose="02020603050405020304" pitchFamily="18" charset="0"/>
            </a:rPr>
            <a:t>TOT</a:t>
          </a:r>
          <a:r>
            <a:rPr lang="en-IN" sz="1600" b="1">
              <a:solidFill>
                <a:schemeClr val="accent2">
                  <a:lumMod val="50000"/>
                </a:schemeClr>
              </a:solidFill>
              <a:latin typeface="Times New Roman" panose="02020603050405020304" pitchFamily="18" charset="0"/>
              <a:cs typeface="Times New Roman" panose="02020603050405020304" pitchFamily="18" charset="0"/>
            </a:rPr>
            <a:t>AL EMPLOYEES IN </a:t>
          </a:r>
          <a:r>
            <a:rPr lang="en-IN" sz="1600" b="1" baseline="0">
              <a:solidFill>
                <a:schemeClr val="accent2">
                  <a:lumMod val="50000"/>
                </a:schemeClr>
              </a:solidFill>
              <a:latin typeface="Times New Roman" panose="02020603050405020304" pitchFamily="18" charset="0"/>
              <a:cs typeface="Times New Roman" panose="02020603050405020304" pitchFamily="18" charset="0"/>
            </a:rPr>
            <a:t> GENDER</a:t>
          </a:r>
          <a:endParaRPr lang="en-IN" sz="1600" b="1">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8</xdr:col>
      <xdr:colOff>46893</xdr:colOff>
      <xdr:row>13</xdr:row>
      <xdr:rowOff>70338</xdr:rowOff>
    </xdr:from>
    <xdr:to>
      <xdr:col>11</xdr:col>
      <xdr:colOff>35170</xdr:colOff>
      <xdr:row>16</xdr:row>
      <xdr:rowOff>117231</xdr:rowOff>
    </xdr:to>
    <mc:AlternateContent xmlns:mc="http://schemas.openxmlformats.org/markup-compatibility/2006" xmlns:a14="http://schemas.microsoft.com/office/drawing/2010/main">
      <mc:Choice Requires="a14">
        <xdr:graphicFrame macro="">
          <xdr:nvGraphicFramePr>
            <xdr:cNvPr id="78" name="Gender 4">
              <a:extLst>
                <a:ext uri="{FF2B5EF4-FFF2-40B4-BE49-F238E27FC236}">
                  <a16:creationId xmlns:a16="http://schemas.microsoft.com/office/drawing/2014/main" id="{9A35EE56-3507-4F99-930A-5BB9456171B6}"/>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5298831" y="2508738"/>
              <a:ext cx="1957754" cy="609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105508</xdr:colOff>
      <xdr:row>12</xdr:row>
      <xdr:rowOff>128954</xdr:rowOff>
    </xdr:from>
    <xdr:to>
      <xdr:col>20</xdr:col>
      <xdr:colOff>433754</xdr:colOff>
      <xdr:row>24</xdr:row>
      <xdr:rowOff>152399</xdr:rowOff>
    </xdr:to>
    <xdr:graphicFrame macro="">
      <xdr:nvGraphicFramePr>
        <xdr:cNvPr id="79" name="Chart 78">
          <a:extLst>
            <a:ext uri="{FF2B5EF4-FFF2-40B4-BE49-F238E27FC236}">
              <a16:creationId xmlns:a16="http://schemas.microsoft.com/office/drawing/2014/main" id="{D3E011CE-32CD-4E23-854E-04F5A2E72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273246</xdr:colOff>
      <xdr:row>12</xdr:row>
      <xdr:rowOff>140677</xdr:rowOff>
    </xdr:from>
    <xdr:to>
      <xdr:col>27</xdr:col>
      <xdr:colOff>562707</xdr:colOff>
      <xdr:row>24</xdr:row>
      <xdr:rowOff>177311</xdr:rowOff>
    </xdr:to>
    <mc:AlternateContent xmlns:mc="http://schemas.openxmlformats.org/markup-compatibility/2006">
      <mc:Choice xmlns:cx1="http://schemas.microsoft.com/office/drawing/2015/9/8/chartex" Requires="cx1">
        <xdr:graphicFrame macro="">
          <xdr:nvGraphicFramePr>
            <xdr:cNvPr id="81" name="Chart 80">
              <a:extLst>
                <a:ext uri="{FF2B5EF4-FFF2-40B4-BE49-F238E27FC236}">
                  <a16:creationId xmlns:a16="http://schemas.microsoft.com/office/drawing/2014/main" id="{AB198D86-4094-4AB4-8C32-276C40959E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4034966" y="2426677"/>
              <a:ext cx="4419501" cy="23226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316524</xdr:colOff>
      <xdr:row>11</xdr:row>
      <xdr:rowOff>35169</xdr:rowOff>
    </xdr:from>
    <xdr:to>
      <xdr:col>27</xdr:col>
      <xdr:colOff>492369</xdr:colOff>
      <xdr:row>12</xdr:row>
      <xdr:rowOff>117231</xdr:rowOff>
    </xdr:to>
    <xdr:sp macro="" textlink="">
      <xdr:nvSpPr>
        <xdr:cNvPr id="84" name="TextBox 83">
          <a:extLst>
            <a:ext uri="{FF2B5EF4-FFF2-40B4-BE49-F238E27FC236}">
              <a16:creationId xmlns:a16="http://schemas.microsoft.com/office/drawing/2014/main" id="{17538456-CD66-28E4-732E-15D9B96F4B55}"/>
            </a:ext>
          </a:extLst>
        </xdr:cNvPr>
        <xdr:cNvSpPr txBox="1"/>
      </xdr:nvSpPr>
      <xdr:spPr>
        <a:xfrm>
          <a:off x="14102862" y="2098431"/>
          <a:ext cx="4314092" cy="269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Times New Roman" panose="02020603050405020304" pitchFamily="18" charset="0"/>
              <a:cs typeface="Times New Roman" panose="02020603050405020304" pitchFamily="18" charset="0"/>
            </a:rPr>
            <a:t>ATTRITION BY JOB ROLE</a:t>
          </a:r>
        </a:p>
      </xdr:txBody>
    </xdr:sp>
    <xdr:clientData/>
  </xdr:twoCellAnchor>
  <xdr:twoCellAnchor>
    <xdr:from>
      <xdr:col>6</xdr:col>
      <xdr:colOff>304799</xdr:colOff>
      <xdr:row>27</xdr:row>
      <xdr:rowOff>128952</xdr:rowOff>
    </xdr:from>
    <xdr:to>
      <xdr:col>12</xdr:col>
      <xdr:colOff>293076</xdr:colOff>
      <xdr:row>38</xdr:row>
      <xdr:rowOff>164121</xdr:rowOff>
    </xdr:to>
    <xdr:graphicFrame macro="">
      <xdr:nvGraphicFramePr>
        <xdr:cNvPr id="85" name="Chart 84">
          <a:extLst>
            <a:ext uri="{FF2B5EF4-FFF2-40B4-BE49-F238E27FC236}">
              <a16:creationId xmlns:a16="http://schemas.microsoft.com/office/drawing/2014/main" id="{E6AA171F-43F3-443F-A37F-87F282BEB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375138</xdr:colOff>
      <xdr:row>25</xdr:row>
      <xdr:rowOff>117231</xdr:rowOff>
    </xdr:from>
    <xdr:to>
      <xdr:col>12</xdr:col>
      <xdr:colOff>281354</xdr:colOff>
      <xdr:row>27</xdr:row>
      <xdr:rowOff>35169</xdr:rowOff>
    </xdr:to>
    <xdr:sp macro="" textlink="">
      <xdr:nvSpPr>
        <xdr:cNvPr id="86" name="TextBox 85">
          <a:extLst>
            <a:ext uri="{FF2B5EF4-FFF2-40B4-BE49-F238E27FC236}">
              <a16:creationId xmlns:a16="http://schemas.microsoft.com/office/drawing/2014/main" id="{B3E95CFA-1E4F-9792-AE10-8342A94C43D4}"/>
            </a:ext>
          </a:extLst>
        </xdr:cNvPr>
        <xdr:cNvSpPr txBox="1"/>
      </xdr:nvSpPr>
      <xdr:spPr>
        <a:xfrm>
          <a:off x="4314092" y="4806462"/>
          <a:ext cx="3845170" cy="293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Times New Roman" panose="02020603050405020304" pitchFamily="18" charset="0"/>
              <a:cs typeface="Times New Roman" panose="02020603050405020304" pitchFamily="18" charset="0"/>
            </a:rPr>
            <a:t>DEPARTMENT WISE ATTRITION</a:t>
          </a:r>
        </a:p>
      </xdr:txBody>
    </xdr:sp>
    <xdr:clientData/>
  </xdr:twoCellAnchor>
  <xdr:twoCellAnchor>
    <xdr:from>
      <xdr:col>12</xdr:col>
      <xdr:colOff>636660</xdr:colOff>
      <xdr:row>27</xdr:row>
      <xdr:rowOff>35168</xdr:rowOff>
    </xdr:from>
    <xdr:to>
      <xdr:col>18</xdr:col>
      <xdr:colOff>386861</xdr:colOff>
      <xdr:row>38</xdr:row>
      <xdr:rowOff>164123</xdr:rowOff>
    </xdr:to>
    <xdr:graphicFrame macro="">
      <xdr:nvGraphicFramePr>
        <xdr:cNvPr id="87" name="Chart 86">
          <a:extLst>
            <a:ext uri="{FF2B5EF4-FFF2-40B4-BE49-F238E27FC236}">
              <a16:creationId xmlns:a16="http://schemas.microsoft.com/office/drawing/2014/main" id="{66A24C11-2A4F-40F8-AF57-1182D9624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105508</xdr:colOff>
      <xdr:row>25</xdr:row>
      <xdr:rowOff>82060</xdr:rowOff>
    </xdr:from>
    <xdr:to>
      <xdr:col>18</xdr:col>
      <xdr:colOff>58615</xdr:colOff>
      <xdr:row>27</xdr:row>
      <xdr:rowOff>11722</xdr:rowOff>
    </xdr:to>
    <xdr:sp macro="" textlink="">
      <xdr:nvSpPr>
        <xdr:cNvPr id="88" name="TextBox 87">
          <a:extLst>
            <a:ext uri="{FF2B5EF4-FFF2-40B4-BE49-F238E27FC236}">
              <a16:creationId xmlns:a16="http://schemas.microsoft.com/office/drawing/2014/main" id="{9A432EB4-DB92-9050-8277-FB9481D8D26E}"/>
            </a:ext>
          </a:extLst>
        </xdr:cNvPr>
        <xdr:cNvSpPr txBox="1"/>
      </xdr:nvSpPr>
      <xdr:spPr>
        <a:xfrm>
          <a:off x="8639908" y="4771291"/>
          <a:ext cx="323556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Times New Roman" panose="02020603050405020304" pitchFamily="18" charset="0"/>
              <a:cs typeface="Times New Roman" panose="02020603050405020304" pitchFamily="18" charset="0"/>
            </a:rPr>
            <a:t>ATTRITION BY AGE GROUP</a:t>
          </a:r>
        </a:p>
      </xdr:txBody>
    </xdr:sp>
    <xdr:clientData/>
  </xdr:twoCellAnchor>
  <xdr:twoCellAnchor>
    <xdr:from>
      <xdr:col>19</xdr:col>
      <xdr:colOff>120846</xdr:colOff>
      <xdr:row>27</xdr:row>
      <xdr:rowOff>93785</xdr:rowOff>
    </xdr:from>
    <xdr:to>
      <xdr:col>23</xdr:col>
      <xdr:colOff>410308</xdr:colOff>
      <xdr:row>38</xdr:row>
      <xdr:rowOff>128954</xdr:rowOff>
    </xdr:to>
    <xdr:graphicFrame macro="">
      <xdr:nvGraphicFramePr>
        <xdr:cNvPr id="89" name="Chart 88">
          <a:extLst>
            <a:ext uri="{FF2B5EF4-FFF2-40B4-BE49-F238E27FC236}">
              <a16:creationId xmlns:a16="http://schemas.microsoft.com/office/drawing/2014/main" id="{629558CD-B232-42FE-B26E-611D0ACE0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140677</xdr:colOff>
      <xdr:row>25</xdr:row>
      <xdr:rowOff>117230</xdr:rowOff>
    </xdr:from>
    <xdr:to>
      <xdr:col>23</xdr:col>
      <xdr:colOff>281355</xdr:colOff>
      <xdr:row>27</xdr:row>
      <xdr:rowOff>23445</xdr:rowOff>
    </xdr:to>
    <xdr:sp macro="" textlink="">
      <xdr:nvSpPr>
        <xdr:cNvPr id="90" name="TextBox 89">
          <a:extLst>
            <a:ext uri="{FF2B5EF4-FFF2-40B4-BE49-F238E27FC236}">
              <a16:creationId xmlns:a16="http://schemas.microsoft.com/office/drawing/2014/main" id="{28BA1B0E-D940-AA1D-BC2F-AFB3E1736A2D}"/>
            </a:ext>
          </a:extLst>
        </xdr:cNvPr>
        <xdr:cNvSpPr txBox="1"/>
      </xdr:nvSpPr>
      <xdr:spPr>
        <a:xfrm>
          <a:off x="12614031" y="4806461"/>
          <a:ext cx="2766647" cy="28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Times New Roman" panose="02020603050405020304" pitchFamily="18" charset="0"/>
              <a:cs typeface="Times New Roman" panose="02020603050405020304" pitchFamily="18" charset="0"/>
            </a:rPr>
            <a:t>ATTRITION BY</a:t>
          </a:r>
          <a:r>
            <a:rPr lang="en-IN" sz="1600" b="1" baseline="0">
              <a:solidFill>
                <a:schemeClr val="accent2">
                  <a:lumMod val="50000"/>
                </a:schemeClr>
              </a:solidFill>
              <a:latin typeface="Times New Roman" panose="02020603050405020304" pitchFamily="18" charset="0"/>
              <a:cs typeface="Times New Roman" panose="02020603050405020304" pitchFamily="18" charset="0"/>
            </a:rPr>
            <a:t> MARITAL STATUS</a:t>
          </a:r>
          <a:endParaRPr lang="en-IN" sz="1600" b="1">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23</xdr:col>
      <xdr:colOff>648384</xdr:colOff>
      <xdr:row>28</xdr:row>
      <xdr:rowOff>93785</xdr:rowOff>
    </xdr:from>
    <xdr:to>
      <xdr:col>26</xdr:col>
      <xdr:colOff>363415</xdr:colOff>
      <xdr:row>38</xdr:row>
      <xdr:rowOff>151668</xdr:rowOff>
    </xdr:to>
    <mc:AlternateContent xmlns:mc="http://schemas.openxmlformats.org/markup-compatibility/2006" xmlns:a14="http://schemas.microsoft.com/office/drawing/2010/main">
      <mc:Choice Requires="a14">
        <xdr:graphicFrame macro="">
          <xdr:nvGraphicFramePr>
            <xdr:cNvPr id="91" name="Education Field 6">
              <a:extLst>
                <a:ext uri="{FF2B5EF4-FFF2-40B4-BE49-F238E27FC236}">
                  <a16:creationId xmlns:a16="http://schemas.microsoft.com/office/drawing/2014/main" id="{8E83CA66-8B08-4A6B-ABAC-236A74C9ECBE}"/>
                </a:ext>
              </a:extLst>
            </xdr:cNvPr>
            <xdr:cNvGraphicFramePr/>
          </xdr:nvGraphicFramePr>
          <xdr:xfrm>
            <a:off x="0" y="0"/>
            <a:ext cx="0" cy="0"/>
          </xdr:xfrm>
          <a:graphic>
            <a:graphicData uri="http://schemas.microsoft.com/office/drawing/2010/slicer">
              <sle:slicer xmlns:sle="http://schemas.microsoft.com/office/drawing/2010/slicer" name="Education Field 6"/>
            </a:graphicData>
          </a:graphic>
        </xdr:graphicFrame>
      </mc:Choice>
      <mc:Fallback xmlns="">
        <xdr:sp macro="" textlink="">
          <xdr:nvSpPr>
            <xdr:cNvPr id="0" name=""/>
            <xdr:cNvSpPr>
              <a:spLocks noTextEdit="1"/>
            </xdr:cNvSpPr>
          </xdr:nvSpPr>
          <xdr:spPr>
            <a:xfrm>
              <a:off x="15747707" y="5345723"/>
              <a:ext cx="1684508" cy="1933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375139</xdr:colOff>
      <xdr:row>28</xdr:row>
      <xdr:rowOff>117232</xdr:rowOff>
    </xdr:from>
    <xdr:to>
      <xdr:col>27</xdr:col>
      <xdr:colOff>644770</xdr:colOff>
      <xdr:row>38</xdr:row>
      <xdr:rowOff>128955</xdr:rowOff>
    </xdr:to>
    <mc:AlternateContent xmlns:mc="http://schemas.openxmlformats.org/markup-compatibility/2006" xmlns:a14="http://schemas.microsoft.com/office/drawing/2010/main">
      <mc:Choice Requires="a14">
        <xdr:graphicFrame macro="">
          <xdr:nvGraphicFramePr>
            <xdr:cNvPr id="92" name="Department 1">
              <a:extLst>
                <a:ext uri="{FF2B5EF4-FFF2-40B4-BE49-F238E27FC236}">
                  <a16:creationId xmlns:a16="http://schemas.microsoft.com/office/drawing/2014/main" id="{B9DB6A76-53D6-40D5-965D-DB82AD17690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443939" y="5369170"/>
              <a:ext cx="1125416" cy="1887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644770</xdr:colOff>
      <xdr:row>27</xdr:row>
      <xdr:rowOff>1</xdr:rowOff>
    </xdr:from>
    <xdr:to>
      <xdr:col>26</xdr:col>
      <xdr:colOff>211016</xdr:colOff>
      <xdr:row>28</xdr:row>
      <xdr:rowOff>105509</xdr:rowOff>
    </xdr:to>
    <xdr:sp macro="" textlink="">
      <xdr:nvSpPr>
        <xdr:cNvPr id="93" name="TextBox 92">
          <a:extLst>
            <a:ext uri="{FF2B5EF4-FFF2-40B4-BE49-F238E27FC236}">
              <a16:creationId xmlns:a16="http://schemas.microsoft.com/office/drawing/2014/main" id="{0DAB7ACB-6A90-4A0F-4706-DC2FBC8D23CA}"/>
            </a:ext>
          </a:extLst>
        </xdr:cNvPr>
        <xdr:cNvSpPr txBox="1"/>
      </xdr:nvSpPr>
      <xdr:spPr>
        <a:xfrm>
          <a:off x="15744093" y="5064370"/>
          <a:ext cx="1535723"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tx1"/>
              </a:solidFill>
              <a:latin typeface="Times New Roman" panose="02020603050405020304" pitchFamily="18" charset="0"/>
              <a:cs typeface="Times New Roman" panose="02020603050405020304" pitchFamily="18" charset="0"/>
            </a:rPr>
            <a:t>Education</a:t>
          </a:r>
          <a:r>
            <a:rPr lang="en-IN" sz="1400" b="1" baseline="0">
              <a:solidFill>
                <a:schemeClr val="tx1"/>
              </a:solidFill>
              <a:latin typeface="Times New Roman" panose="02020603050405020304" pitchFamily="18" charset="0"/>
              <a:cs typeface="Times New Roman" panose="02020603050405020304" pitchFamily="18" charset="0"/>
            </a:rPr>
            <a:t> Field</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363415</xdr:colOff>
      <xdr:row>27</xdr:row>
      <xdr:rowOff>46893</xdr:rowOff>
    </xdr:from>
    <xdr:to>
      <xdr:col>27</xdr:col>
      <xdr:colOff>656491</xdr:colOff>
      <xdr:row>28</xdr:row>
      <xdr:rowOff>117232</xdr:rowOff>
    </xdr:to>
    <xdr:sp macro="" textlink="">
      <xdr:nvSpPr>
        <xdr:cNvPr id="94" name="TextBox 93">
          <a:extLst>
            <a:ext uri="{FF2B5EF4-FFF2-40B4-BE49-F238E27FC236}">
              <a16:creationId xmlns:a16="http://schemas.microsoft.com/office/drawing/2014/main" id="{15FCFB71-8ED8-ACAE-D45C-E912FED3F667}"/>
            </a:ext>
          </a:extLst>
        </xdr:cNvPr>
        <xdr:cNvSpPr txBox="1"/>
      </xdr:nvSpPr>
      <xdr:spPr>
        <a:xfrm>
          <a:off x="17432215" y="5111262"/>
          <a:ext cx="1148861" cy="25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50000"/>
                </a:schemeClr>
              </a:solidFill>
              <a:latin typeface="Times New Roman" panose="02020603050405020304" pitchFamily="18" charset="0"/>
              <a:cs typeface="Times New Roman" panose="02020603050405020304" pitchFamily="18" charset="0"/>
            </a:rPr>
            <a:t>Department</a:t>
          </a: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0.19718</cdr:x>
      <cdr:y>0.30882</cdr:y>
    </cdr:from>
    <cdr:to>
      <cdr:x>0.67606</cdr:x>
      <cdr:y>0.70588</cdr:y>
    </cdr:to>
    <cdr:sp macro="" textlink="Rating!$B$6">
      <cdr:nvSpPr>
        <cdr:cNvPr id="2" name="TextBox 1">
          <a:extLst xmlns:a="http://schemas.openxmlformats.org/drawingml/2006/main">
            <a:ext uri="{FF2B5EF4-FFF2-40B4-BE49-F238E27FC236}">
              <a16:creationId xmlns:a16="http://schemas.microsoft.com/office/drawing/2014/main" id="{3EF2EB10-D9CA-D285-4701-BAD43ABEB9BB}"/>
            </a:ext>
          </a:extLst>
        </cdr:cNvPr>
        <cdr:cNvSpPr txBox="1"/>
      </cdr:nvSpPr>
      <cdr:spPr>
        <a:xfrm xmlns:a="http://schemas.openxmlformats.org/drawingml/2006/main">
          <a:off x="180305" y="271526"/>
          <a:ext cx="437882" cy="34910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fld id="{E7923A63-D096-4814-88B1-00E2EF0F112D}" type="TxLink">
            <a:rPr lang="en-US" sz="1200" b="1" i="0" u="none" strike="noStrike" kern="1200">
              <a:solidFill>
                <a:srgbClr val="000000"/>
              </a:solidFill>
              <a:latin typeface="Calibri"/>
              <a:ea typeface="Calibri"/>
              <a:cs typeface="Calibri"/>
            </a:rPr>
            <a:pPr algn="ctr"/>
            <a:t>2.6</a:t>
          </a:fld>
          <a:endParaRPr lang="en-IN" sz="1200" b="1" kern="1200"/>
        </a:p>
      </cdr:txBody>
    </cdr:sp>
  </cdr:relSizeAnchor>
</c:userShapes>
</file>

<file path=xl/drawings/drawing12.xml><?xml version="1.0" encoding="utf-8"?>
<c:userShapes xmlns:c="http://schemas.openxmlformats.org/drawingml/2006/chart">
  <cdr:relSizeAnchor xmlns:cdr="http://schemas.openxmlformats.org/drawingml/2006/chartDrawing">
    <cdr:from>
      <cdr:x>0.27667</cdr:x>
      <cdr:y>0.3765</cdr:y>
    </cdr:from>
    <cdr:to>
      <cdr:x>0.64165</cdr:x>
      <cdr:y>0.69065</cdr:y>
    </cdr:to>
    <cdr:sp macro="" textlink="Gender!$B$9">
      <cdr:nvSpPr>
        <cdr:cNvPr id="2" name="TextBox 1">
          <a:extLst xmlns:a="http://schemas.openxmlformats.org/drawingml/2006/main">
            <a:ext uri="{FF2B5EF4-FFF2-40B4-BE49-F238E27FC236}">
              <a16:creationId xmlns:a16="http://schemas.microsoft.com/office/drawing/2014/main" id="{9A4F5502-317A-DA36-0191-90AD0AEB7025}"/>
            </a:ext>
          </a:extLst>
        </cdr:cNvPr>
        <cdr:cNvSpPr txBox="1"/>
      </cdr:nvSpPr>
      <cdr:spPr>
        <a:xfrm xmlns:a="http://schemas.openxmlformats.org/drawingml/2006/main">
          <a:off x="488755" y="613507"/>
          <a:ext cx="644769" cy="51190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45022699-7887-4B3A-83A7-931342D2D66C}" type="TxLink">
            <a:rPr lang="en-US" sz="1800" b="1" i="0" u="none" strike="noStrike" kern="1200">
              <a:solidFill>
                <a:srgbClr val="002060"/>
              </a:solidFill>
              <a:latin typeface="Calibri"/>
              <a:ea typeface="Calibri"/>
              <a:cs typeface="Calibri"/>
            </a:rPr>
            <a:pPr algn="ctr"/>
            <a:t>588</a:t>
          </a:fld>
          <a:endParaRPr lang="en-IN" sz="1800" b="1" kern="1200">
            <a:solidFill>
              <a:srgbClr val="002060"/>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0.32102</cdr:x>
      <cdr:y>0.33333</cdr:y>
    </cdr:from>
    <cdr:to>
      <cdr:x>0.70208</cdr:x>
      <cdr:y>0.64748</cdr:y>
    </cdr:to>
    <cdr:sp macro="" textlink="Gender!$B$10">
      <cdr:nvSpPr>
        <cdr:cNvPr id="2" name="TextBox 1">
          <a:extLst xmlns:a="http://schemas.openxmlformats.org/drawingml/2006/main">
            <a:ext uri="{FF2B5EF4-FFF2-40B4-BE49-F238E27FC236}">
              <a16:creationId xmlns:a16="http://schemas.microsoft.com/office/drawing/2014/main" id="{1091CEF2-9539-C152-9FFC-949AA7C65073}"/>
            </a:ext>
          </a:extLst>
        </cdr:cNvPr>
        <cdr:cNvSpPr txBox="1"/>
      </cdr:nvSpPr>
      <cdr:spPr>
        <a:xfrm xmlns:a="http://schemas.openxmlformats.org/drawingml/2006/main">
          <a:off x="543169" y="543169"/>
          <a:ext cx="644769" cy="51190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2F3A1616-A641-482F-AF40-D730AF50F9DA}" type="TxLink">
            <a:rPr lang="en-US" sz="1800" b="1" i="0" u="none" strike="noStrike" kern="1200">
              <a:solidFill>
                <a:srgbClr val="002060"/>
              </a:solidFill>
              <a:latin typeface="Calibri"/>
              <a:ea typeface="Calibri"/>
              <a:cs typeface="Calibri"/>
            </a:rPr>
            <a:pPr algn="ctr"/>
            <a:t>882</a:t>
          </a:fld>
          <a:endParaRPr lang="en-IN" sz="1800" b="1" kern="1200">
            <a:solidFill>
              <a:srgbClr val="00206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ka Saha" refreshedDate="46114.728615972221" createdVersion="8" refreshedVersion="8" minRefreshableVersion="3" recordCount="1470" xr:uid="{F28636B2-DEA0-4072-80B9-BECCB39C851A}">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38509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E8CF1-6EC4-4400-B97A-D968BCFA50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28"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formats count="1">
    <format dxfId="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8058C7-F60D-456F-8770-EDB0CDC38A75}"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25DC4A-47C5-4D70-A4AA-442E1DF288A1}"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C7EF62-173E-41DF-A7BF-1ABDD0829F67}" name="EducationBy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1"/>
    </i>
    <i>
      <x v="4"/>
    </i>
    <i>
      <x/>
    </i>
    <i>
      <x v="3"/>
    </i>
    <i>
      <x v="2"/>
    </i>
    <i t="grand">
      <x/>
    </i>
  </rowItems>
  <colItems count="1">
    <i/>
  </colItems>
  <dataFields count="1">
    <dataField name="Sum of CF_attrition counts" fld="18"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7ED31D-29C5-4089-8FC6-C12357145DAC}"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077E3E-D102-46A9-A504-40C2F9BB81C4}"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9E1B48-DA53-4418-B18D-D0A2C4049B82}"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D026B0-D62A-4550-B106-897669CE84FD}"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7EB6BE-8BAC-4132-BF66-C327C696CA1D}"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0FC025-BB18-4F14-B6B2-4B924654ABF6}" sourceName="Gender">
  <pivotTables>
    <pivotTable tabId="8" name="KPI"/>
  </pivotTables>
  <data>
    <tabular pivotCacheId="12385097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7888E0C-75D5-4072-8F4E-027A1595B079}" sourceName="Gender">
  <pivotTables>
    <pivotTable tabId="9" name="rating"/>
    <pivotTable tabId="9" name="PivotTable2"/>
  </pivotTables>
  <data>
    <tabular pivotCacheId="123850978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FD677435-3F0E-49E8-B69B-DDA608CE0936}" sourceName="Gender">
  <pivotTables>
    <pivotTable tabId="10" name="Gender"/>
  </pivotTables>
  <data>
    <tabular pivotCacheId="123850978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3" xr10:uid="{5B5B51DE-7DA6-492A-84AF-48E9C39FE66B}" sourceName="Education Field">
  <pivotTables>
    <pivotTable tabId="14" name="ATTRITION BY AGE GROUP"/>
    <pivotTable tabId="12" name="Attrition by job role"/>
    <pivotTable tabId="13" name="Department Wise Attrition"/>
    <pivotTable tabId="11" name="EducationByAttrition"/>
    <pivotTable tabId="10" name="Gender"/>
    <pivotTable tabId="8" name="KPI"/>
    <pivotTable tabId="15" name="Marital Status"/>
    <pivotTable tabId="9" name="PivotTable2"/>
    <pivotTable tabId="9" name="rating"/>
  </pivotTables>
  <data>
    <tabular pivotCacheId="1238509788">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58D18C1-06BE-4CEE-92F5-CB77F26FFF3D}" sourceName="Department">
  <pivotTables>
    <pivotTable tabId="14" name="ATTRITION BY AGE GROUP"/>
    <pivotTable tabId="12" name="Attrition by job role"/>
    <pivotTable tabId="13" name="Department Wise Attrition"/>
    <pivotTable tabId="11" name="EducationByAttrition"/>
    <pivotTable tabId="10" name="Gender"/>
    <pivotTable tabId="8" name="KPI"/>
    <pivotTable tabId="15" name="Marital Status"/>
    <pivotTable tabId="9" name="PivotTable2"/>
    <pivotTable tabId="9" name="rating"/>
  </pivotTables>
  <data>
    <tabular pivotCacheId="123850978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9702AEB-5701-4B9C-8763-3C0AFBFD326A}" cache="Slicer_Gender1" caption="Gender" rowHeight="260350"/>
  <slicer name="Education Field 2" xr10:uid="{D859F88F-0FCC-432D-8FA4-145025545C70}" cache="Slicer_Education_Field3"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11601CD2-DC63-43F6-B86C-3E2961ED0C3E}" cache="Slicer_Gender2" caption="Gender" rowHeight="260350"/>
  <slicer name="Education Field 4" xr10:uid="{D043A825-1F89-45C1-9EDA-E4DE2D06F430}" cache="Slicer_Education_Field3"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5" xr10:uid="{04B6C0BA-6FB7-4A52-BAAB-0C1EF58F4FBA}" cache="Slicer_Education_Field3" caption="Education Field" rowHeight="260350"/>
  <slicer name="Department" xr10:uid="{06D5184F-D182-4E82-9384-4141645C4DDC}" cache="Slicer_Department" caption="Department"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C453A6-9175-44A3-BA99-791CF8D96466}" cache="Slicer_Gender" caption="Gender" rowHeight="260350"/>
  <slicer name="Education Field" xr10:uid="{97AE00BA-73CA-426A-AA21-2A1A4183E722}" cache="Slicer_Education_Field3"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59A3D11E-E5AD-40C7-AC5C-26C5BAD0F2B3}" cache="Slicer_Gender2" caption="Gender" columnCount="2" style="SlicerStyleLight2" rowHeight="260350"/>
  <slicer name="Education Field 6" xr10:uid="{C5D0CFDB-0183-460C-B6FF-0DA98F8E5E06}" cache="Slicer_Education_Field3" style="SlicerStyleDark6" rowHeight="260350"/>
  <slicer name="Department 1" xr10:uid="{25A6DC53-D02C-467F-9B45-2A2C8AD83AC2}" cache="Slicer_Department" style="SlicerStyleDark5"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F9C3C-2790-4AA8-8AC0-56B983B5A408}">
  <dimension ref="A3:C28"/>
  <sheetViews>
    <sheetView workbookViewId="0">
      <selection activeCell="A3" sqref="A3"/>
    </sheetView>
  </sheetViews>
  <sheetFormatPr defaultRowHeight="15.6" x14ac:dyDescent="0.3"/>
  <cols>
    <col min="1" max="1" width="23.59765625" bestFit="1" customWidth="1"/>
    <col min="2" max="2" width="9.3984375" bestFit="1" customWidth="1"/>
  </cols>
  <sheetData>
    <row r="3" spans="1:3" x14ac:dyDescent="0.3">
      <c r="A3" s="11" t="s">
        <v>1563</v>
      </c>
    </row>
    <row r="4" spans="1:3" x14ac:dyDescent="0.3">
      <c r="A4" s="13">
        <v>2.6265306122448981</v>
      </c>
    </row>
    <row r="6" spans="1:3" x14ac:dyDescent="0.3">
      <c r="A6" s="14" t="s">
        <v>1564</v>
      </c>
      <c r="B6" s="15">
        <f>GETPIVOTDATA("Job Satisfaction",$A$3)</f>
        <v>2.6265306122448981</v>
      </c>
      <c r="C6">
        <f>B6/4</f>
        <v>0.65663265306122454</v>
      </c>
    </row>
    <row r="7" spans="1:3" x14ac:dyDescent="0.3">
      <c r="A7" s="14" t="s">
        <v>1565</v>
      </c>
      <c r="B7" s="15">
        <f>4-B6</f>
        <v>1.3734693877551019</v>
      </c>
      <c r="C7">
        <f>B7/4</f>
        <v>0.34336734693877546</v>
      </c>
    </row>
    <row r="11" spans="1:3" x14ac:dyDescent="0.3">
      <c r="A11" s="2"/>
      <c r="B11" s="9"/>
      <c r="C11" s="10"/>
    </row>
    <row r="12" spans="1:3" x14ac:dyDescent="0.3">
      <c r="A12" s="16"/>
      <c r="B12" s="17"/>
      <c r="C12" s="18"/>
    </row>
    <row r="13" spans="1:3" x14ac:dyDescent="0.3">
      <c r="A13" s="16"/>
      <c r="B13" s="17"/>
      <c r="C13" s="18"/>
    </row>
    <row r="14" spans="1:3" x14ac:dyDescent="0.3">
      <c r="A14" s="16"/>
      <c r="B14" s="17"/>
      <c r="C14" s="18"/>
    </row>
    <row r="15" spans="1:3" x14ac:dyDescent="0.3">
      <c r="A15" s="16"/>
      <c r="B15" s="17"/>
      <c r="C15" s="18"/>
    </row>
    <row r="16" spans="1:3" x14ac:dyDescent="0.3">
      <c r="A16" s="16"/>
      <c r="B16" s="17"/>
      <c r="C16" s="18"/>
    </row>
    <row r="17" spans="1:3" x14ac:dyDescent="0.3">
      <c r="A17" s="16"/>
      <c r="B17" s="17"/>
      <c r="C17" s="18"/>
    </row>
    <row r="18" spans="1:3" x14ac:dyDescent="0.3">
      <c r="A18" s="16"/>
      <c r="B18" s="17"/>
      <c r="C18" s="18"/>
    </row>
    <row r="19" spans="1:3" x14ac:dyDescent="0.3">
      <c r="A19" s="16"/>
      <c r="B19" s="17"/>
      <c r="C19" s="18"/>
    </row>
    <row r="20" spans="1:3" x14ac:dyDescent="0.3">
      <c r="A20" s="16"/>
      <c r="B20" s="17"/>
      <c r="C20" s="18"/>
    </row>
    <row r="21" spans="1:3" x14ac:dyDescent="0.3">
      <c r="A21" s="16"/>
      <c r="B21" s="17"/>
      <c r="C21" s="18"/>
    </row>
    <row r="22" spans="1:3" x14ac:dyDescent="0.3">
      <c r="A22" s="16"/>
      <c r="B22" s="17"/>
      <c r="C22" s="18"/>
    </row>
    <row r="23" spans="1:3" x14ac:dyDescent="0.3">
      <c r="A23" s="16"/>
      <c r="B23" s="17"/>
      <c r="C23" s="18"/>
    </row>
    <row r="24" spans="1:3" x14ac:dyDescent="0.3">
      <c r="A24" s="16"/>
      <c r="B24" s="17"/>
      <c r="C24" s="18"/>
    </row>
    <row r="25" spans="1:3" x14ac:dyDescent="0.3">
      <c r="A25" s="16"/>
      <c r="B25" s="17"/>
      <c r="C25" s="18"/>
    </row>
    <row r="26" spans="1:3" x14ac:dyDescent="0.3">
      <c r="A26" s="16"/>
      <c r="B26" s="17"/>
      <c r="C26" s="18"/>
    </row>
    <row r="27" spans="1:3" x14ac:dyDescent="0.3">
      <c r="A27" s="16"/>
      <c r="B27" s="17"/>
      <c r="C27" s="18"/>
    </row>
    <row r="28" spans="1:3" x14ac:dyDescent="0.3">
      <c r="A28" s="19"/>
      <c r="B28" s="20"/>
      <c r="C28" s="2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608A8-6639-4586-AFC9-90F3DFE288B5}">
  <dimension ref="A3:C12"/>
  <sheetViews>
    <sheetView workbookViewId="0">
      <selection activeCell="C9" sqref="C9:C10"/>
    </sheetView>
  </sheetViews>
  <sheetFormatPr defaultRowHeight="15.6" x14ac:dyDescent="0.3"/>
  <cols>
    <col min="1" max="1" width="12.19921875" bestFit="1" customWidth="1"/>
    <col min="2" max="2" width="22.796875" bestFit="1" customWidth="1"/>
  </cols>
  <sheetData>
    <row r="3" spans="1:3" x14ac:dyDescent="0.3">
      <c r="A3" s="25" t="s">
        <v>1566</v>
      </c>
      <c r="B3" s="11" t="s">
        <v>1568</v>
      </c>
    </row>
    <row r="4" spans="1:3" x14ac:dyDescent="0.3">
      <c r="A4" s="26" t="s">
        <v>51</v>
      </c>
      <c r="B4" s="11">
        <v>588</v>
      </c>
    </row>
    <row r="5" spans="1:3" x14ac:dyDescent="0.3">
      <c r="A5" s="27" t="s">
        <v>62</v>
      </c>
      <c r="B5" s="28">
        <v>882</v>
      </c>
    </row>
    <row r="6" spans="1:3" x14ac:dyDescent="0.3">
      <c r="A6" s="29" t="s">
        <v>1567</v>
      </c>
      <c r="B6" s="12">
        <v>1470</v>
      </c>
    </row>
    <row r="9" spans="1:3" x14ac:dyDescent="0.3">
      <c r="A9" s="30" t="s">
        <v>51</v>
      </c>
      <c r="B9">
        <f>IFERROR(GETPIVOTDATA("Employee Count",$A$3,"Gender","Female"),0)</f>
        <v>588</v>
      </c>
      <c r="C9" s="31">
        <f>IFERROR(B9/(B9+B10),0)</f>
        <v>0.4</v>
      </c>
    </row>
    <row r="10" spans="1:3" x14ac:dyDescent="0.3">
      <c r="A10" s="30" t="s">
        <v>62</v>
      </c>
      <c r="B10">
        <f>IFERROR(GETPIVOTDATA("Employee Count",$A$3,"Gender","Male"),0)</f>
        <v>882</v>
      </c>
      <c r="C10" s="31">
        <f t="shared" ref="C10" si="0">IFERROR(B10/(B10+B11),0)</f>
        <v>1</v>
      </c>
    </row>
    <row r="11" spans="1:3" x14ac:dyDescent="0.3">
      <c r="C11" s="31"/>
    </row>
    <row r="12" spans="1:3" x14ac:dyDescent="0.3">
      <c r="C12" s="3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AE3BA-FDE5-431E-A65E-78B458411962}">
  <dimension ref="A3:B9"/>
  <sheetViews>
    <sheetView workbookViewId="0">
      <selection activeCell="B4" sqref="B4"/>
    </sheetView>
  </sheetViews>
  <sheetFormatPr defaultRowHeight="15.6" x14ac:dyDescent="0.3"/>
  <cols>
    <col min="1" max="1" width="16" bestFit="1" customWidth="1"/>
    <col min="2" max="2" width="23.59765625" bestFit="1" customWidth="1"/>
  </cols>
  <sheetData>
    <row r="3" spans="1:2" x14ac:dyDescent="0.3">
      <c r="A3" s="25" t="s">
        <v>1566</v>
      </c>
      <c r="B3" s="11" t="s">
        <v>1569</v>
      </c>
    </row>
    <row r="4" spans="1:2" x14ac:dyDescent="0.3">
      <c r="A4" s="26" t="s">
        <v>77</v>
      </c>
      <c r="B4" s="11">
        <v>99</v>
      </c>
    </row>
    <row r="5" spans="1:2" x14ac:dyDescent="0.3">
      <c r="A5" s="27" t="s">
        <v>71</v>
      </c>
      <c r="B5" s="28">
        <v>58</v>
      </c>
    </row>
    <row r="6" spans="1:2" x14ac:dyDescent="0.3">
      <c r="A6" s="27" t="s">
        <v>55</v>
      </c>
      <c r="B6" s="28">
        <v>44</v>
      </c>
    </row>
    <row r="7" spans="1:2" x14ac:dyDescent="0.3">
      <c r="A7" s="27" t="s">
        <v>65</v>
      </c>
      <c r="B7" s="28">
        <v>31</v>
      </c>
    </row>
    <row r="8" spans="1:2" x14ac:dyDescent="0.3">
      <c r="A8" s="27" t="s">
        <v>134</v>
      </c>
      <c r="B8" s="28">
        <v>5</v>
      </c>
    </row>
    <row r="9" spans="1:2" x14ac:dyDescent="0.3">
      <c r="A9" s="29" t="s">
        <v>1567</v>
      </c>
      <c r="B9" s="12">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A8A0-9DAC-4636-9BF5-89406705DB11}">
  <dimension ref="A3:G13"/>
  <sheetViews>
    <sheetView workbookViewId="0">
      <selection activeCell="D4" sqref="D4:G12"/>
    </sheetView>
  </sheetViews>
  <sheetFormatPr defaultRowHeight="15.6" x14ac:dyDescent="0.3"/>
  <cols>
    <col min="1" max="1" width="23.296875" bestFit="1" customWidth="1"/>
    <col min="2" max="2" width="22.796875" bestFit="1" customWidth="1"/>
  </cols>
  <sheetData>
    <row r="3" spans="1:7" x14ac:dyDescent="0.3">
      <c r="A3" s="25" t="s">
        <v>1566</v>
      </c>
      <c r="B3" s="11" t="s">
        <v>1555</v>
      </c>
      <c r="D3" t="s">
        <v>9</v>
      </c>
      <c r="G3" t="s">
        <v>0</v>
      </c>
    </row>
    <row r="4" spans="1:7" x14ac:dyDescent="0.3">
      <c r="A4" s="26" t="s">
        <v>83</v>
      </c>
      <c r="B4" s="11">
        <v>9</v>
      </c>
      <c r="D4" t="str">
        <f>A4</f>
        <v>Healthcare Representative</v>
      </c>
      <c r="G4">
        <f>GETPIVOTDATA("CF_attrition count",$A$3,"Job Role",A4)</f>
        <v>9</v>
      </c>
    </row>
    <row r="5" spans="1:7" x14ac:dyDescent="0.3">
      <c r="A5" s="27" t="s">
        <v>163</v>
      </c>
      <c r="B5" s="28">
        <v>12</v>
      </c>
      <c r="D5" t="str">
        <f t="shared" ref="D5:D12" si="0">A5</f>
        <v>Human Resources</v>
      </c>
      <c r="G5">
        <f t="shared" ref="G5:G12" si="1">GETPIVOTDATA("CF_attrition count",$A$3,"Job Role",A5)</f>
        <v>12</v>
      </c>
    </row>
    <row r="6" spans="1:7" x14ac:dyDescent="0.3">
      <c r="A6" s="27" t="s">
        <v>68</v>
      </c>
      <c r="B6" s="28">
        <v>62</v>
      </c>
      <c r="D6" t="str">
        <f t="shared" si="0"/>
        <v>Laboratory Technician</v>
      </c>
      <c r="G6">
        <f t="shared" si="1"/>
        <v>62</v>
      </c>
    </row>
    <row r="7" spans="1:7" x14ac:dyDescent="0.3">
      <c r="A7" s="27" t="s">
        <v>95</v>
      </c>
      <c r="B7" s="28">
        <v>5</v>
      </c>
      <c r="D7" t="str">
        <f t="shared" si="0"/>
        <v>Manager</v>
      </c>
      <c r="G7">
        <f t="shared" si="1"/>
        <v>5</v>
      </c>
    </row>
    <row r="8" spans="1:7" x14ac:dyDescent="0.3">
      <c r="A8" s="27" t="s">
        <v>81</v>
      </c>
      <c r="B8" s="28">
        <v>10</v>
      </c>
      <c r="D8" t="str">
        <f t="shared" si="0"/>
        <v>Manufacturing Director</v>
      </c>
      <c r="G8">
        <f t="shared" si="1"/>
        <v>10</v>
      </c>
    </row>
    <row r="9" spans="1:7" x14ac:dyDescent="0.3">
      <c r="A9" s="27" t="s">
        <v>101</v>
      </c>
      <c r="B9" s="28">
        <v>2</v>
      </c>
      <c r="D9" t="str">
        <f t="shared" si="0"/>
        <v>Research Director</v>
      </c>
      <c r="G9">
        <f t="shared" si="1"/>
        <v>2</v>
      </c>
    </row>
    <row r="10" spans="1:7" x14ac:dyDescent="0.3">
      <c r="A10" s="27" t="s">
        <v>63</v>
      </c>
      <c r="B10" s="28">
        <v>47</v>
      </c>
      <c r="D10" t="str">
        <f t="shared" si="0"/>
        <v>Research Scientist</v>
      </c>
      <c r="G10">
        <f t="shared" si="1"/>
        <v>47</v>
      </c>
    </row>
    <row r="11" spans="1:7" x14ac:dyDescent="0.3">
      <c r="A11" s="27" t="s">
        <v>52</v>
      </c>
      <c r="B11" s="28">
        <v>57</v>
      </c>
      <c r="D11" t="str">
        <f t="shared" si="0"/>
        <v>Sales Executive</v>
      </c>
      <c r="G11">
        <f t="shared" si="1"/>
        <v>57</v>
      </c>
    </row>
    <row r="12" spans="1:7" x14ac:dyDescent="0.3">
      <c r="A12" s="27" t="s">
        <v>99</v>
      </c>
      <c r="B12" s="28">
        <v>33</v>
      </c>
      <c r="D12" t="str">
        <f t="shared" si="0"/>
        <v>Sales Representative</v>
      </c>
      <c r="G12">
        <f t="shared" si="1"/>
        <v>33</v>
      </c>
    </row>
    <row r="13" spans="1:7" x14ac:dyDescent="0.3">
      <c r="A13" s="29" t="s">
        <v>1567</v>
      </c>
      <c r="B13" s="1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7D6FC-8658-44E9-B9FC-1918DA4387E9}">
  <dimension ref="A3:B7"/>
  <sheetViews>
    <sheetView workbookViewId="0">
      <selection activeCell="M18" sqref="H17:M18"/>
    </sheetView>
  </sheetViews>
  <sheetFormatPr defaultRowHeight="15.6" x14ac:dyDescent="0.3"/>
  <cols>
    <col min="1" max="1" width="12.19921875" bestFit="1" customWidth="1"/>
    <col min="2" max="2" width="22.796875" bestFit="1" customWidth="1"/>
  </cols>
  <sheetData>
    <row r="3" spans="1:2" x14ac:dyDescent="0.3">
      <c r="A3" s="25" t="s">
        <v>1566</v>
      </c>
      <c r="B3" s="11" t="s">
        <v>1555</v>
      </c>
    </row>
    <row r="4" spans="1:2" x14ac:dyDescent="0.3">
      <c r="A4" s="26" t="s">
        <v>161</v>
      </c>
      <c r="B4" s="32">
        <v>5.0632911392405063E-2</v>
      </c>
    </row>
    <row r="5" spans="1:2" x14ac:dyDescent="0.3">
      <c r="A5" s="27" t="s">
        <v>60</v>
      </c>
      <c r="B5" s="33">
        <v>0.56118143459915615</v>
      </c>
    </row>
    <row r="6" spans="1:2" x14ac:dyDescent="0.3">
      <c r="A6" s="27" t="s">
        <v>48</v>
      </c>
      <c r="B6" s="33">
        <v>0.3881856540084388</v>
      </c>
    </row>
    <row r="7" spans="1:2" x14ac:dyDescent="0.3">
      <c r="A7" s="29" t="s">
        <v>1567</v>
      </c>
      <c r="B7" s="3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0E021-96B1-4297-A8C1-F5C6D6F53C76}">
  <dimension ref="A3:B9"/>
  <sheetViews>
    <sheetView workbookViewId="0">
      <selection activeCell="B6" sqref="B6"/>
    </sheetView>
  </sheetViews>
  <sheetFormatPr defaultRowHeight="15.6" x14ac:dyDescent="0.3"/>
  <cols>
    <col min="1" max="1" width="12.19921875" bestFit="1" customWidth="1"/>
    <col min="2" max="2" width="23.59765625" bestFit="1" customWidth="1"/>
  </cols>
  <sheetData>
    <row r="3" spans="1:2" x14ac:dyDescent="0.3">
      <c r="A3" s="25" t="s">
        <v>1566</v>
      </c>
      <c r="B3" s="11" t="s">
        <v>1569</v>
      </c>
    </row>
    <row r="4" spans="1:2" x14ac:dyDescent="0.3">
      <c r="A4" s="26" t="s">
        <v>69</v>
      </c>
      <c r="B4" s="11">
        <v>112</v>
      </c>
    </row>
    <row r="5" spans="1:2" x14ac:dyDescent="0.3">
      <c r="A5" s="27" t="s">
        <v>46</v>
      </c>
      <c r="B5" s="28">
        <v>51</v>
      </c>
    </row>
    <row r="6" spans="1:2" x14ac:dyDescent="0.3">
      <c r="A6" s="27" t="s">
        <v>92</v>
      </c>
      <c r="B6" s="28">
        <v>38</v>
      </c>
    </row>
    <row r="7" spans="1:2" x14ac:dyDescent="0.3">
      <c r="A7" s="27" t="s">
        <v>58</v>
      </c>
      <c r="B7" s="28">
        <v>25</v>
      </c>
    </row>
    <row r="8" spans="1:2" x14ac:dyDescent="0.3">
      <c r="A8" s="27" t="s">
        <v>75</v>
      </c>
      <c r="B8" s="28">
        <v>11</v>
      </c>
    </row>
    <row r="9" spans="1:2" x14ac:dyDescent="0.3">
      <c r="A9" s="29" t="s">
        <v>1567</v>
      </c>
      <c r="B9" s="1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4C97-0690-4AA8-B11D-B1DC48A04A7E}">
  <dimension ref="A3:F7"/>
  <sheetViews>
    <sheetView workbookViewId="0">
      <selection activeCell="D3" sqref="D3:F6"/>
    </sheetView>
  </sheetViews>
  <sheetFormatPr defaultRowHeight="15.6" x14ac:dyDescent="0.3"/>
  <cols>
    <col min="1" max="1" width="12.19921875" bestFit="1" customWidth="1"/>
    <col min="2" max="2" width="16" bestFit="1" customWidth="1"/>
  </cols>
  <sheetData>
    <row r="3" spans="1:6" x14ac:dyDescent="0.3">
      <c r="A3" s="25" t="s">
        <v>1566</v>
      </c>
      <c r="B3" s="11" t="s">
        <v>1570</v>
      </c>
      <c r="D3" t="s">
        <v>10</v>
      </c>
      <c r="F3" t="s">
        <v>0</v>
      </c>
    </row>
    <row r="4" spans="1:6" x14ac:dyDescent="0.3">
      <c r="A4" s="26" t="s">
        <v>79</v>
      </c>
      <c r="B4" s="11">
        <v>327</v>
      </c>
      <c r="D4" t="str">
        <f>A4</f>
        <v>Divorced</v>
      </c>
      <c r="F4">
        <f>GETPIVOTDATA("Attrition",$A$3,"Marital Status",A4)</f>
        <v>327</v>
      </c>
    </row>
    <row r="5" spans="1:6" x14ac:dyDescent="0.3">
      <c r="A5" s="27" t="s">
        <v>64</v>
      </c>
      <c r="B5" s="28">
        <v>673</v>
      </c>
      <c r="D5" t="str">
        <f t="shared" ref="D5:D6" si="0">A5</f>
        <v>Married</v>
      </c>
      <c r="F5">
        <f t="shared" ref="F5:F6" si="1">GETPIVOTDATA("Attrition",$A$3,"Marital Status",A5)</f>
        <v>673</v>
      </c>
    </row>
    <row r="6" spans="1:6" x14ac:dyDescent="0.3">
      <c r="A6" s="27" t="s">
        <v>53</v>
      </c>
      <c r="B6" s="28">
        <v>470</v>
      </c>
      <c r="D6" t="str">
        <f t="shared" si="0"/>
        <v>Single</v>
      </c>
      <c r="F6">
        <f t="shared" si="1"/>
        <v>470</v>
      </c>
    </row>
    <row r="7" spans="1:6" x14ac:dyDescent="0.3">
      <c r="A7" s="29" t="s">
        <v>1567</v>
      </c>
      <c r="B7" s="12">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B2" sqref="B2"/>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16F78-5DF2-4464-A285-2E3BD4560C14}">
  <dimension ref="A3:E14"/>
  <sheetViews>
    <sheetView workbookViewId="0">
      <selection activeCell="C4" sqref="C4"/>
    </sheetView>
  </sheetViews>
  <sheetFormatPr defaultRowHeight="15.6" x14ac:dyDescent="0.3"/>
  <cols>
    <col min="1" max="1" width="24.5" bestFit="1" customWidth="1"/>
    <col min="2" max="2" width="22.796875" bestFit="1" customWidth="1"/>
    <col min="3" max="3" width="13.5" bestFit="1" customWidth="1"/>
    <col min="4" max="4" width="18.69921875" customWidth="1"/>
    <col min="5" max="5" width="15.8984375" customWidth="1"/>
  </cols>
  <sheetData>
    <row r="3" spans="1:5" x14ac:dyDescent="0.3">
      <c r="A3" s="2" t="s">
        <v>1554</v>
      </c>
      <c r="B3" s="4" t="s">
        <v>1555</v>
      </c>
      <c r="C3" s="3" t="s">
        <v>1556</v>
      </c>
    </row>
    <row r="4" spans="1:5" x14ac:dyDescent="0.3">
      <c r="A4" s="22">
        <v>1470</v>
      </c>
      <c r="B4" s="23">
        <v>237</v>
      </c>
      <c r="C4" s="24">
        <v>36.923809523809524</v>
      </c>
    </row>
    <row r="7" spans="1:5" x14ac:dyDescent="0.3">
      <c r="A7" t="s">
        <v>1557</v>
      </c>
      <c r="B7" t="s">
        <v>1558</v>
      </c>
      <c r="C7" t="s">
        <v>1559</v>
      </c>
      <c r="D7" t="s">
        <v>1560</v>
      </c>
      <c r="E7" t="s">
        <v>1561</v>
      </c>
    </row>
    <row r="8" spans="1:5" x14ac:dyDescent="0.3">
      <c r="A8">
        <f>GETPIVOTDATA("Count of Employee Number",$A$3)</f>
        <v>1470</v>
      </c>
      <c r="B8">
        <f>GETPIVOTDATA("Sum of CF_attrition count",$A$3)</f>
        <v>237</v>
      </c>
      <c r="C8" s="5">
        <f>GETPIVOTDATA("Average of Age",$A$3)</f>
        <v>36.923809523809524</v>
      </c>
      <c r="D8">
        <f>GETPIVOTDATA("Count of Employee Number",$A$3)-GETPIVOTDATA("Sum of CF_attrition count",$A$3)</f>
        <v>1233</v>
      </c>
      <c r="E8" s="6">
        <f>B8/A8</f>
        <v>0.16122448979591836</v>
      </c>
    </row>
    <row r="14" spans="1:5" x14ac:dyDescent="0.3">
      <c r="E14" t="s">
        <v>1562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A4" workbookViewId="0">
      <selection activeCell="G27" sqref="G27:G28"/>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20"/>
  <sheetViews>
    <sheetView showGridLines="0" tabSelected="1" topLeftCell="E1" zoomScale="65" workbookViewId="0">
      <selection activeCell="AD28" sqref="AD28"/>
    </sheetView>
  </sheetViews>
  <sheetFormatPr defaultColWidth="11.19921875" defaultRowHeight="15" customHeight="1" x14ac:dyDescent="0.3"/>
  <cols>
    <col min="1" max="26" width="8.59765625" style="7" customWidth="1"/>
    <col min="27" max="16384" width="11.19921875" style="7"/>
  </cols>
  <sheetData>
    <row r="1" spans="2:2" x14ac:dyDescent="0.3"/>
    <row r="2" spans="2:2" x14ac:dyDescent="0.3"/>
    <row r="3" spans="2:2" x14ac:dyDescent="0.3">
      <c r="B3" s="8"/>
    </row>
    <row r="4" spans="2:2" x14ac:dyDescent="0.3"/>
    <row r="5" spans="2:2" x14ac:dyDescent="0.3"/>
    <row r="6" spans="2:2" x14ac:dyDescent="0.3"/>
    <row r="7" spans="2:2" x14ac:dyDescent="0.3"/>
    <row r="8" spans="2:2" x14ac:dyDescent="0.3"/>
    <row r="9" spans="2:2" x14ac:dyDescent="0.3"/>
    <row r="10" spans="2:2" x14ac:dyDescent="0.3"/>
    <row r="11" spans="2:2" x14ac:dyDescent="0.3"/>
    <row r="12" spans="2:2" x14ac:dyDescent="0.3"/>
    <row r="13" spans="2:2" x14ac:dyDescent="0.3"/>
    <row r="14" spans="2:2" x14ac:dyDescent="0.3"/>
    <row r="15" spans="2:2" x14ac:dyDescent="0.3"/>
    <row r="16" spans="2:2"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Rating</vt:lpstr>
      <vt:lpstr>Gender</vt:lpstr>
      <vt:lpstr>EducationByAttrition</vt:lpstr>
      <vt:lpstr>ATTRITION by JOBROLE</vt:lpstr>
      <vt:lpstr>Department wise Attrition</vt:lpstr>
      <vt:lpstr>ATTRITION BY AGE GROUP</vt:lpstr>
      <vt:lpstr>Marital Status</vt:lpstr>
      <vt:lpstr>Data</vt:lpstr>
      <vt:lpstr>KPI</vt:lpstr>
      <vt:lpstr>Images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Adrika Saha</cp:lastModifiedBy>
  <dcterms:created xsi:type="dcterms:W3CDTF">2022-12-29T16:02:46Z</dcterms:created>
  <dcterms:modified xsi:type="dcterms:W3CDTF">2026-05-21T06:22:53Z</dcterms:modified>
</cp:coreProperties>
</file>